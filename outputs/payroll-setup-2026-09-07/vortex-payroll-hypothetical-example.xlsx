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3952c185374a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nciliation" sheetId="1" r:id="Rdea4a76ae89f4c27"/>
    <x:sheet xmlns:r="http://schemas.openxmlformats.org/officeDocument/2006/relationships" name="Hypothetical Log" sheetId="2" r:id="R708938fbf9d547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$0.00"/>
    <x:numFmt numFmtId="201" formatCode="mmm-yy"/>
    <x:numFmt numFmtId="202" formatCode="mm/dd/yy"/>
    <x:numFmt numFmtId="203" formatCode="$#,##0.00;($#,##0.00);-"/>
    <x:numFmt numFmtId="204" formatCode="0.00"/>
    <x:numFmt numFmtId="205" formatCode="&quot;Week of &quot;d-mmm"/>
  </x:numFmts>
  <x:fonts count="11">
    <x:font>
      <x:sz val="11"/>
      <x:name val="Carlito"/>
    </x:font>
    <x:font>
      <x:b/>
      <x:sz val="16"/>
      <x:color rgb="FF17365D"/>
      <x:name val="Arial"/>
    </x:font>
    <x:font>
      <x:b/>
      <x:sz val="11"/>
      <x:color rgb="FF9C0006"/>
      <x:name val="Arial"/>
    </x:font>
    <x:font>
      <x:b/>
      <x:sz val="11"/>
      <x:color rgb="FF17365D"/>
      <x:name val="Arial"/>
    </x:font>
    <x:font>
      <x:sz val="11"/>
      <x:color rgb="FF000000"/>
      <x:name val="Arial"/>
    </x:font>
    <x:font>
      <x:b/>
      <x:sz val="11"/>
      <x:color rgb="FFFFFFFF"/>
      <x:name val="Arial"/>
    </x:font>
    <x:font>
      <x:sz val="11"/>
      <x:color rgb="FF0000FF"/>
      <x:name val="Arial"/>
    </x:font>
    <x:font>
      <x:sz val="11"/>
      <x:color rgb="FF9C0006"/>
      <x:name val="Arial"/>
    </x:font>
    <x:font>
      <x:sz val="10"/>
      <x:name val="Arial"/>
    </x:font>
    <x:font>
      <x:sz val="9"/>
      <x:color rgb="FF595959"/>
      <x:name val="Arial"/>
    </x:font>
    <x:font>
      <x:sz val="11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CE8E6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</x:fills>
  <x:borders count="15">
    <x:border/>
    <x:border>
      <x:bottom style="medium">
        <x:color rgb="FF17365D"/>
      </x:bottom>
    </x:border>
    <x:border>
      <x:left style="medium">
        <x:color rgb="FF9C0006"/>
      </x:left>
      <x:top style="medium">
        <x:color rgb="FF9C0006"/>
      </x:top>
      <x:bottom style="medium">
        <x:color rgb="FF9C0006"/>
      </x:bottom>
    </x:border>
    <x:border>
      <x:top style="medium">
        <x:color rgb="FF9C0006"/>
      </x:top>
      <x:bottom style="medium">
        <x:color rgb="FF9C0006"/>
      </x:bottom>
    </x:border>
    <x:border>
      <x:right style="medium">
        <x:color rgb="FF9C0006"/>
      </x:right>
      <x:top style="medium">
        <x:color rgb="FF9C0006"/>
      </x:top>
      <x:bottom style="medium">
        <x:color rgb="FF9C0006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double">
        <x:color rgb="FF17365D"/>
      </x:top>
    </x:border>
    <x:border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top style="thin">
        <x:color rgb="FFD9E1F2"/>
      </x:top>
    </x:border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</x:border>
  </x:borders>
  <x:cellStyleXfs count="1">
    <x:xf numFmtId="0" fontId="0" fillId="0" borderId="0"/>
  </x:cellStyleXfs>
  <x:cellXfs count="122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4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5" xfId="0" applyNumberFormat="1" applyFont="1" applyFill="1" applyBorder="1"/>
    <x:xf numFmtId="0" fontId="5" fillId="4" borderId="6" xfId="0" applyNumberFormat="1" applyFont="1" applyFill="1" applyBorder="1"/>
    <x:xf numFmtId="0" fontId="5" fillId="4" borderId="7" xfId="0" applyNumberFormat="1" applyFont="1" applyFill="1" applyBorder="1"/>
    <x:xf numFmtId="0" fontId="5" fillId="4" borderId="5" xfId="0" applyNumberFormat="1" applyFont="1" applyFill="1" applyBorder="1" applyAlignment="1">
      <x:alignment wrapText="1"/>
    </x:xf>
    <x:xf numFmtId="0" fontId="5" fillId="4" borderId="6" xfId="0" applyNumberFormat="1" applyFont="1" applyFill="1" applyBorder="1" applyAlignment="1">
      <x:alignment wrapText="1"/>
    </x:xf>
    <x:xf numFmtId="0" fontId="5" fillId="4" borderId="7" xfId="0" applyNumberFormat="1" applyFont="1" applyFill="1" applyBorder="1" applyAlignment="1">
      <x:alignment wrapText="1"/>
    </x:xf>
    <x:xf numFmtId="0" fontId="5" fillId="4" borderId="5" xfId="0" applyNumberFormat="1" applyFont="1" applyFill="1" applyBorder="1" applyAlignment="1">
      <x:alignment horizontal="center" wrapText="1"/>
    </x:xf>
    <x:xf numFmtId="0" fontId="5" fillId="4" borderId="6" xfId="0" applyNumberFormat="1" applyFont="1" applyFill="1" applyBorder="1" applyAlignment="1">
      <x:alignment horizontal="center" wrapText="1"/>
    </x:xf>
    <x:xf numFmtId="0" fontId="5" fillId="4" borderId="7" xfId="0" applyNumberFormat="1" applyFont="1" applyFill="1" applyBorder="1" applyAlignment="1">
      <x:alignment horizontal="center" wrapText="1"/>
    </x:xf>
    <x:xf numFmtId="0" fontId="5" fillId="4" borderId="5" xfId="0" applyNumberFormat="1" applyFont="1" applyFill="1" applyBorder="1" applyAlignment="1">
      <x:alignment horizontal="center" vertical="center" wrapText="1"/>
    </x:xf>
    <x:xf numFmtId="0" fontId="5" fillId="4" borderId="6" xfId="0" applyNumberFormat="1" applyFont="1" applyFill="1" applyBorder="1" applyAlignment="1">
      <x:alignment horizontal="center" vertical="center" wrapText="1"/>
    </x:xf>
    <x:xf numFmtId="0" fontId="5" fillId="4" borderId="7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8" xfId="0" applyNumberFormat="1" applyFont="1" applyFill="1" applyBorder="1"/>
    <x:xf numFmtId="201" fontId="0" fillId="0" borderId="0" xfId="0" applyNumberFormat="1" applyFont="1" applyFill="1" applyBorder="1"/>
    <x:xf numFmtId="201" fontId="3" fillId="5" borderId="8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3" fontId="3" fillId="5" borderId="8" xfId="0" applyNumberFormat="1" applyFont="1" applyFill="1" applyBorder="1"/>
    <x:xf numFmtId="204" fontId="0" fillId="0" borderId="0" xfId="0" applyNumberFormat="1" applyFont="1" applyFill="1" applyBorder="1"/>
    <x:xf numFmtId="204" fontId="3" fillId="5" borderId="8" xfId="0" applyNumberFormat="1" applyFont="1" applyFill="1" applyBorder="1"/>
    <x:xf numFmtId="203" fontId="0" fillId="6" borderId="0" xfId="0" applyNumberFormat="1" applyFont="1" applyFill="1" applyBorder="1"/>
    <x:xf numFmtId="203" fontId="6" fillId="6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/>
    <x:xf numFmtId="0" fontId="10" fillId="0" borderId="0" xfId="0" applyNumberFormat="1" applyFont="1" applyFill="1" applyBorder="1"/>
    <x:xf numFmtId="0" fontId="10" fillId="0" borderId="1" xfId="0" applyNumberFormat="1" applyFont="1" applyFill="1" applyBorder="1"/>
    <x:xf numFmtId="201" fontId="10" fillId="0" borderId="0" xfId="0" applyNumberFormat="1" applyFont="1" applyFill="1" applyBorder="1"/>
    <x:xf numFmtId="202" fontId="10" fillId="0" borderId="0" xfId="0" applyNumberFormat="1" applyFont="1" applyFill="1" applyBorder="1"/>
    <x:xf numFmtId="203" fontId="10" fillId="0" borderId="0" xfId="0" applyNumberFormat="1" applyFont="1" applyFill="1" applyBorder="1"/>
    <x:xf numFmtId="204" fontId="10" fillId="0" borderId="0" xfId="0" applyNumberFormat="1" applyFont="1" applyFill="1" applyBorder="1"/>
    <x:xf numFmtId="201" fontId="10" fillId="0" borderId="0" xfId="0" applyNumberFormat="1" applyFont="1" applyFill="1" applyBorder="1" applyAlignment="1">
      <x:alignment vertical="center"/>
    </x:xf>
    <x:xf numFmtId="202" fontId="10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203" fontId="10" fillId="0" borderId="0" xfId="0" applyNumberFormat="1" applyFont="1" applyFill="1" applyBorder="1" applyAlignment="1">
      <x:alignment vertical="center"/>
    </x:xf>
    <x:xf numFmtId="204" fontId="10" fillId="0" borderId="0" xfId="0" applyNumberFormat="1" applyFont="1" applyFill="1" applyBorder="1" applyAlignment="1">
      <x:alignment vertical="center"/>
    </x:xf>
    <x:xf numFmtId="203" fontId="6" fillId="6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201" fontId="10" fillId="0" borderId="9" xfId="0" applyNumberFormat="1" applyFont="1" applyFill="1" applyBorder="1" applyAlignment="1">
      <x:alignment vertical="center"/>
    </x:xf>
    <x:xf numFmtId="202" fontId="10" fillId="0" borderId="9" xfId="0" applyNumberFormat="1" applyFont="1" applyFill="1" applyBorder="1" applyAlignment="1">
      <x:alignment vertical="center"/>
    </x:xf>
    <x:xf numFmtId="0" fontId="10" fillId="0" borderId="9" xfId="0" applyNumberFormat="1" applyFont="1" applyFill="1" applyBorder="1" applyAlignment="1">
      <x:alignment vertical="center"/>
    </x:xf>
    <x:xf numFmtId="203" fontId="10" fillId="0" borderId="9" xfId="0" applyNumberFormat="1" applyFont="1" applyFill="1" applyBorder="1" applyAlignment="1">
      <x:alignment vertical="center"/>
    </x:xf>
    <x:xf numFmtId="204" fontId="10" fillId="0" borderId="9" xfId="0" applyNumberFormat="1" applyFont="1" applyFill="1" applyBorder="1" applyAlignment="1">
      <x:alignment vertical="center"/>
    </x:xf>
    <x:xf numFmtId="203" fontId="6" fillId="6" borderId="9" xfId="0" applyNumberFormat="1" applyFont="1" applyFill="1" applyBorder="1" applyAlignment="1">
      <x:alignment vertical="center"/>
    </x:xf>
    <x:xf numFmtId="0" fontId="7" fillId="2" borderId="9" xfId="0" applyNumberFormat="1" applyFont="1" applyFill="1" applyBorder="1" applyAlignment="1">
      <x:alignment vertical="center" wrapText="1"/>
    </x:xf>
    <x:xf numFmtId="201" fontId="10" fillId="0" borderId="10" xfId="0" applyNumberFormat="1" applyFont="1" applyFill="1" applyBorder="1" applyAlignment="1">
      <x:alignment vertical="center"/>
    </x:xf>
    <x:xf numFmtId="202" fontId="10" fillId="0" borderId="10" xfId="0" applyNumberFormat="1" applyFont="1" applyFill="1" applyBorder="1" applyAlignment="1">
      <x:alignment vertical="center"/>
    </x:xf>
    <x:xf numFmtId="0" fontId="10" fillId="0" borderId="10" xfId="0" applyNumberFormat="1" applyFont="1" applyFill="1" applyBorder="1" applyAlignment="1">
      <x:alignment vertical="center"/>
    </x:xf>
    <x:xf numFmtId="203" fontId="10" fillId="0" borderId="10" xfId="0" applyNumberFormat="1" applyFont="1" applyFill="1" applyBorder="1" applyAlignment="1">
      <x:alignment vertical="center"/>
    </x:xf>
    <x:xf numFmtId="204" fontId="10" fillId="0" borderId="10" xfId="0" applyNumberFormat="1" applyFont="1" applyFill="1" applyBorder="1" applyAlignment="1">
      <x:alignment vertical="center"/>
    </x:xf>
    <x:xf numFmtId="203" fontId="6" fillId="6" borderId="10" xfId="0" applyNumberFormat="1" applyFont="1" applyFill="1" applyBorder="1" applyAlignment="1">
      <x:alignment vertical="center"/>
    </x:xf>
    <x:xf numFmtId="0" fontId="7" fillId="2" borderId="10" xfId="0" applyNumberFormat="1" applyFont="1" applyFill="1" applyBorder="1" applyAlignment="1">
      <x:alignment vertical="center" wrapText="1"/>
    </x:xf>
    <x:xf numFmtId="201" fontId="10" fillId="0" borderId="11" xfId="0" applyNumberFormat="1" applyFont="1" applyFill="1" applyBorder="1" applyAlignment="1">
      <x:alignment vertical="center"/>
    </x:xf>
    <x:xf numFmtId="202" fontId="10" fillId="0" borderId="11" xfId="0" applyNumberFormat="1" applyFont="1" applyFill="1" applyBorder="1" applyAlignment="1">
      <x:alignment vertical="center"/>
    </x:xf>
    <x:xf numFmtId="0" fontId="10" fillId="0" borderId="11" xfId="0" applyNumberFormat="1" applyFont="1" applyFill="1" applyBorder="1" applyAlignment="1">
      <x:alignment vertical="center"/>
    </x:xf>
    <x:xf numFmtId="203" fontId="10" fillId="0" borderId="11" xfId="0" applyNumberFormat="1" applyFont="1" applyFill="1" applyBorder="1" applyAlignment="1">
      <x:alignment vertical="center"/>
    </x:xf>
    <x:xf numFmtId="204" fontId="10" fillId="0" borderId="11" xfId="0" applyNumberFormat="1" applyFont="1" applyFill="1" applyBorder="1" applyAlignment="1">
      <x:alignment vertical="center"/>
    </x:xf>
    <x:xf numFmtId="203" fontId="6" fillId="6" borderId="11" xfId="0" applyNumberFormat="1" applyFont="1" applyFill="1" applyBorder="1" applyAlignment="1">
      <x:alignment vertical="center"/>
    </x:xf>
    <x:xf numFmtId="0" fontId="7" fillId="2" borderId="1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/>
    <x:xf numFmtId="202" fontId="6" fillId="0" borderId="0" xfId="0" applyNumberFormat="1" applyFont="1" applyFill="1" applyBorder="1"/>
    <x:xf numFmtId="0" fontId="6" fillId="0" borderId="0" xfId="0" applyNumberFormat="1" applyFont="1" applyFill="1" applyBorder="1"/>
    <x:xf numFmtId="201" fontId="6" fillId="0" borderId="0" xfId="0" applyNumberFormat="1" applyFont="1" applyFill="1" applyBorder="1"/>
    <x:xf numFmtId="205" fontId="6" fillId="0" borderId="0" xfId="0" applyNumberFormat="1" applyFont="1" applyFill="1" applyBorder="1"/>
    <x:xf numFmtId="204" fontId="6" fillId="0" borderId="0" xfId="0" applyNumberFormat="1" applyFont="1" applyFill="1" applyBorder="1"/>
    <x:xf numFmtId="204" fontId="6" fillId="6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0"/>
    </x:xf>
    <x:xf numFmtId="202" fontId="6" fillId="0" borderId="12" xfId="0" applyNumberFormat="1" applyFont="1" applyFill="1" applyBorder="1"/>
    <x:xf numFmtId="0" fontId="6" fillId="0" borderId="12" xfId="0" applyNumberFormat="1" applyFont="1" applyFill="1" applyBorder="1"/>
    <x:xf numFmtId="201" fontId="6" fillId="0" borderId="12" xfId="0" applyNumberFormat="1" applyFont="1" applyFill="1" applyBorder="1"/>
    <x:xf numFmtId="205" fontId="6" fillId="0" borderId="12" xfId="0" applyNumberFormat="1" applyFont="1" applyFill="1" applyBorder="1"/>
    <x:xf numFmtId="204" fontId="6" fillId="6" borderId="12" xfId="0" applyNumberFormat="1" applyFont="1" applyFill="1" applyBorder="1"/>
    <x:xf numFmtId="204" fontId="0" fillId="0" borderId="12" xfId="0" applyNumberFormat="1" applyFont="1" applyFill="1" applyBorder="1"/>
    <x:xf numFmtId="203" fontId="0" fillId="0" borderId="12" xfId="0" applyNumberFormat="1" applyFont="1" applyFill="1" applyBorder="1"/>
    <x:xf numFmtId="0" fontId="6" fillId="6" borderId="12" xfId="0" applyNumberFormat="1" applyFont="1" applyFill="1" applyBorder="1" applyAlignment="1">
      <x:alignment wrapText="0"/>
    </x:xf>
    <x:xf numFmtId="202" fontId="6" fillId="0" borderId="13" xfId="0" applyNumberFormat="1" applyFont="1" applyFill="1" applyBorder="1"/>
    <x:xf numFmtId="0" fontId="6" fillId="0" borderId="13" xfId="0" applyNumberFormat="1" applyFont="1" applyFill="1" applyBorder="1"/>
    <x:xf numFmtId="201" fontId="6" fillId="0" borderId="13" xfId="0" applyNumberFormat="1" applyFont="1" applyFill="1" applyBorder="1"/>
    <x:xf numFmtId="205" fontId="6" fillId="0" borderId="13" xfId="0" applyNumberFormat="1" applyFont="1" applyFill="1" applyBorder="1"/>
    <x:xf numFmtId="204" fontId="6" fillId="6" borderId="13" xfId="0" applyNumberFormat="1" applyFont="1" applyFill="1" applyBorder="1"/>
    <x:xf numFmtId="204" fontId="0" fillId="0" borderId="13" xfId="0" applyNumberFormat="1" applyFont="1" applyFill="1" applyBorder="1"/>
    <x:xf numFmtId="203" fontId="0" fillId="0" borderId="13" xfId="0" applyNumberFormat="1" applyFont="1" applyFill="1" applyBorder="1"/>
    <x:xf numFmtId="0" fontId="6" fillId="6" borderId="13" xfId="0" applyNumberFormat="1" applyFont="1" applyFill="1" applyBorder="1" applyAlignment="1">
      <x:alignment wrapText="0"/>
    </x:xf>
    <x:xf numFmtId="202" fontId="6" fillId="0" borderId="14" xfId="0" applyNumberFormat="1" applyFont="1" applyFill="1" applyBorder="1"/>
    <x:xf numFmtId="0" fontId="6" fillId="0" borderId="14" xfId="0" applyNumberFormat="1" applyFont="1" applyFill="1" applyBorder="1"/>
    <x:xf numFmtId="201" fontId="6" fillId="0" borderId="14" xfId="0" applyNumberFormat="1" applyFont="1" applyFill="1" applyBorder="1"/>
    <x:xf numFmtId="205" fontId="6" fillId="0" borderId="14" xfId="0" applyNumberFormat="1" applyFont="1" applyFill="1" applyBorder="1"/>
    <x:xf numFmtId="204" fontId="6" fillId="6" borderId="14" xfId="0" applyNumberFormat="1" applyFont="1" applyFill="1" applyBorder="1"/>
    <x:xf numFmtId="204" fontId="0" fillId="0" borderId="14" xfId="0" applyNumberFormat="1" applyFont="1" applyFill="1" applyBorder="1"/>
    <x:xf numFmtId="203" fontId="0" fillId="0" borderId="14" xfId="0" applyNumberFormat="1" applyFont="1" applyFill="1" applyBorder="1"/>
    <x:xf numFmtId="0" fontId="6" fillId="6" borderId="14" xfId="0" applyNumberFormat="1" applyFont="1" applyFill="1" applyBorder="1" applyAlignment="1">
      <x:alignment wrapText="0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067e08fb91458b" /><Relationship Type="http://schemas.openxmlformats.org/officeDocument/2006/relationships/theme" Target="/xl/theme/theme1.xml" Id="R1e693b021b4f4065" /><Relationship Type="http://schemas.openxmlformats.org/officeDocument/2006/relationships/sharedStrings" Target="/xl/sharedStrings.xml" Id="R283573635ba546da" /><Relationship Type="http://schemas.openxmlformats.org/officeDocument/2006/relationships/worksheet" Target="/xl/worksheets/sheet1.xml" Id="Rdea4a76ae89f4c27" /><Relationship Type="http://schemas.openxmlformats.org/officeDocument/2006/relationships/worksheet" Target="/xl/worksheets/sheet2.xml" Id="R708938fbf9d547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14" topLeftCell="A15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0" hidden="0" customWidth="1"/>
    <x:col min="9" max="9" width="14" hidden="0" customWidth="1"/>
    <x:col min="10" max="10" width="14" hidden="0" customWidth="1"/>
    <x:col min="11" max="11" width="30" hidden="0" customWidth="1"/>
    <x:col min="13" max="13" width="23" hidden="0" customWidth="1"/>
    <x:col min="14" max="14" width="62" hidden="0" customWidth="1"/>
  </x:cols>
  <x:sheetData>
    <x:row r="2" ht="26" customHeight="1">
      <x:c r="A2" s="1" t="str">
        <x:v>Vortex payroll reconstruction example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53"/>
      <x:c r="M2" s="53"/>
      <x:c r="N2" s="53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  <x:c r="K3" s="54"/>
      <x:c r="L3" s="53"/>
      <x:c r="M3" s="53"/>
      <x:c r="N3" s="53"/>
    </x:row>
    <x:row r="4">
      <x:c r="A4" s="53"/>
      <x:c r="B4" s="53"/>
      <x:c r="C4" s="53"/>
      <x:c r="D4" s="53"/>
      <x:c r="E4" s="53"/>
      <x:c r="F4" s="53"/>
      <x:c r="G4" s="53"/>
      <x:c r="H4" s="53"/>
      <x:c r="I4" s="53"/>
      <x:c r="J4" s="53"/>
      <x:c r="K4" s="53"/>
      <x:c r="L4" s="53"/>
      <x:c r="M4" s="53"/>
      <x:c r="N4" s="53"/>
    </x:row>
    <x:row r="5" ht="24" customHeight="1">
      <x:c r="A5" s="11" t="str">
        <x:v>HYPOTHETICAL EXAMPLE — NOT AN EMPLOYMENT, TAX, OR TIME RECORD</x:v>
      </x:c>
      <x:c r="B5" s="12"/>
      <x:c r="C5" s="12"/>
      <x:c r="D5" s="12"/>
      <x:c r="E5" s="12"/>
      <x:c r="F5" s="12"/>
      <x:c r="G5" s="12"/>
      <x:c r="H5" s="12"/>
      <x:c r="I5" s="12"/>
      <x:c r="J5" s="12"/>
      <x:c r="K5" s="13"/>
      <x:c r="L5" s="53"/>
      <x:c r="M5" s="53"/>
      <x:c r="N5" s="53"/>
    </x:row>
    <x:row r="6">
      <x:c r="A6" s="53"/>
      <x:c r="B6" s="53"/>
      <x:c r="C6" s="53"/>
      <x:c r="D6" s="53"/>
      <x:c r="E6" s="53"/>
      <x:c r="F6" s="53"/>
      <x:c r="G6" s="53"/>
      <x:c r="H6" s="53"/>
      <x:c r="I6" s="53"/>
      <x:c r="J6" s="53"/>
      <x:c r="K6" s="53"/>
      <x:c r="L6" s="53"/>
      <x:c r="M6" s="53"/>
      <x:c r="N6" s="53"/>
    </x:row>
    <x:row r="7">
      <x:c r="A7" s="15" t="str">
        <x:v>Company</x:v>
      </x:c>
      <x:c r="B7" s="16" t="str">
        <x:v>Vortex Athletics LLC</x:v>
      </x:c>
      <x:c r="C7" s="16"/>
      <x:c r="D7" s="16"/>
      <x:c r="E7" s="53"/>
      <x:c r="F7" s="53"/>
      <x:c r="G7" s="53"/>
      <x:c r="H7" s="53"/>
      <x:c r="I7" s="53"/>
      <x:c r="J7" s="53"/>
      <x:c r="K7" s="53"/>
      <x:c r="L7" s="53"/>
      <x:c r="M7" s="20" t="str">
        <x:v>Source</x:v>
      </x:c>
      <x:c r="N7" s="20" t="str">
        <x:v>URL</x:v>
      </x:c>
    </x:row>
    <x:row r="8">
      <x:c r="A8" s="15" t="str">
        <x:v>Employee</x:v>
      </x:c>
      <x:c r="B8" s="16" t="str">
        <x:v>Maria Alejandra Gutierrez Sanchez</x:v>
      </x:c>
      <x:c r="C8" s="16"/>
      <x:c r="D8" s="16"/>
      <x:c r="E8" s="53"/>
      <x:c r="F8" s="53"/>
      <x:c r="G8" s="53"/>
      <x:c r="H8" s="53"/>
      <x:c r="I8" s="53"/>
      <x:c r="J8" s="53"/>
      <x:c r="K8" s="53"/>
      <x:c r="L8" s="53"/>
      <x:c r="M8" s="52" t="str">
        <x:v>Maryland pay frequency</x:v>
      </x:c>
      <x:c r="N8" s="52" t="str">
        <x:v>https://www.labor.maryland.gov/labor/wagepay/wpfrequency.shtml</x:v>
      </x:c>
    </x:row>
    <x:row r="9">
      <x:c r="A9" s="15" t="str">
        <x:v>Role</x:v>
      </x:c>
      <x:c r="B9" s="16" t="str">
        <x:v>Gymnastics instructor</x:v>
      </x:c>
      <x:c r="C9" s="16"/>
      <x:c r="D9" s="16"/>
      <x:c r="E9" s="53"/>
      <x:c r="F9" s="53"/>
      <x:c r="G9" s="53"/>
      <x:c r="H9" s="53"/>
      <x:c r="I9" s="53"/>
      <x:c r="J9" s="53"/>
      <x:c r="K9" s="53"/>
      <x:c r="L9" s="53"/>
      <x:c r="M9" s="52" t="str">
        <x:v>Maryland overtime</x:v>
      </x:c>
      <x:c r="N9" s="52" t="str">
        <x:v>https://labor.maryland.gov/labor/wagepay/wpotgenl.shtml</x:v>
      </x:c>
    </x:row>
    <x:row r="10">
      <x:c r="A10" s="15" t="str">
        <x:v>Illustrative hourly rate</x:v>
      </x:c>
      <x:c r="B10" s="18" t="n">
        <x:v>25</x:v>
      </x:c>
      <x:c r="C10" s="16"/>
      <x:c r="D10" s="16"/>
      <x:c r="E10" s="53"/>
      <x:c r="F10" s="53"/>
      <x:c r="G10" s="53"/>
      <x:c r="H10" s="53"/>
      <x:c r="I10" s="53"/>
      <x:c r="J10" s="53"/>
      <x:c r="K10" s="53"/>
      <x:c r="L10" s="53"/>
      <x:c r="M10" s="52" t="str">
        <x:v>IRS Publication 15</x:v>
      </x:c>
      <x:c r="N10" s="52" t="str">
        <x:v>https://www.irs.gov/publications/p15</x:v>
      </x:c>
    </x:row>
    <x:row r="11">
      <x:c r="A11" s="15" t="str">
        <x:v>Primary instruction window</x:v>
      </x:c>
      <x:c r="B11" s="16" t="str">
        <x:v>4:00 PM–9:00 PM</x:v>
      </x:c>
      <x:c r="C11" s="16"/>
      <x:c r="D11" s="16"/>
      <x:c r="E11" s="53"/>
      <x:c r="F11" s="53"/>
      <x:c r="G11" s="53"/>
      <x:c r="H11" s="53"/>
      <x:c r="I11" s="53"/>
      <x:c r="J11" s="53"/>
      <x:c r="K11" s="53"/>
      <x:c r="L11" s="53"/>
      <x:c r="M11" s="53"/>
      <x:c r="N11" s="53"/>
    </x:row>
    <x:row r="12" ht="28" customHeight="1">
      <x:c r="A12" s="15" t="str">
        <x:v>Illustrative workweek</x:v>
      </x:c>
      <x:c r="B12" s="17" t="str">
        <x:v>Monday–Sunday; replace with Vortex's actual established workweek</x:v>
      </x:c>
      <x:c r="C12" s="17"/>
      <x:c r="D12" s="17"/>
      <x:c r="E12" s="53"/>
      <x:c r="F12" s="53"/>
      <x:c r="G12" s="53"/>
      <x:c r="H12" s="53"/>
      <x:c r="I12" s="53"/>
      <x:c r="J12" s="53"/>
      <x:c r="K12" s="53"/>
      <x:c r="L12" s="53"/>
      <x:c r="M12" s="53"/>
      <x:c r="N12" s="53"/>
    </x:row>
    <x:row r="13">
      <x:c r="A13" s="53"/>
      <x:c r="B13" s="53"/>
      <x:c r="C13" s="53"/>
      <x:c r="D13" s="53"/>
      <x:c r="E13" s="53"/>
      <x:c r="F13" s="53"/>
      <x:c r="G13" s="53"/>
      <x:c r="H13" s="53"/>
      <x:c r="I13" s="53"/>
      <x:c r="J13" s="53"/>
      <x:c r="K13" s="53"/>
      <x:c r="L13" s="53"/>
      <x:c r="M13" s="53"/>
      <x:c r="N13" s="53"/>
    </x:row>
    <x:row r="14" ht="34" customHeight="1">
      <x:c r="A14" s="30" t="str">
        <x:v>Work period</x:v>
      </x:c>
      <x:c r="B14" s="31" t="str">
        <x:v>Payment date</x:v>
      </x:c>
      <x:c r="C14" s="31" t="str">
        <x:v>Method</x:v>
      </x:c>
      <x:c r="D14" s="31" t="str">
        <x:v>Gross paid</x:v>
      </x:c>
      <x:c r="E14" s="31" t="str">
        <x:v>Regular hours</x:v>
      </x:c>
      <x:c r="F14" s="31" t="str">
        <x:v>Overtime hours</x:v>
      </x:c>
      <x:c r="G14" s="31" t="str">
        <x:v>Hourly wages</x:v>
      </x:c>
      <x:c r="H14" s="31" t="str">
        <x:v>Example-only taxable adjustment</x:v>
      </x:c>
      <x:c r="I14" s="31" t="str">
        <x:v>Illustrated gross</x:v>
      </x:c>
      <x:c r="J14" s="31" t="str">
        <x:v>Difference</x:v>
      </x:c>
      <x:c r="K14" s="32" t="str">
        <x:v>Record status</x:v>
      </x:c>
      <x:c r="L14" s="53"/>
      <x:c r="M14" s="53"/>
      <x:c r="N14" s="53"/>
    </x:row>
    <x:row r="15">
      <x:c r="A15" s="66" t="n">
        <x:v>46023</x:v>
      </x:c>
      <x:c r="B15" s="67" t="n">
        <x:v>46093</x:v>
      </x:c>
      <x:c r="C15" s="68" t="str">
        <x:v>Check 156</x:v>
      </x:c>
      <x:c r="D15" s="69" t="n">
        <x:v>1000</x:v>
      </x:c>
      <x:c r="E15" s="70" t="n">
        <x:f>SUMIFS('Hypothetical Log'!$J$6:$J$139,'Hypothetical Log'!$C$6:$C$139,A15)</x:f>
        <x:v>40</x:v>
      </x:c>
      <x:c r="F15" s="70" t="n">
        <x:f>SUMIFS('Hypothetical Log'!$K$6:$K$139,'Hypothetical Log'!$C$6:$C$139,A15)</x:f>
        <x:v>0</x:v>
      </x:c>
      <x:c r="G15" s="69" t="n">
        <x:f>E15*$B$10+F15*$B$10*1.5</x:f>
        <x:v>1000</x:v>
      </x:c>
      <x:c r="H15" s="71" t="n">
        <x:f>D15-G15</x:f>
        <x:v>0</x:v>
      </x:c>
      <x:c r="I15" s="69" t="n">
        <x:f>G15+H15</x:f>
        <x:v>1000</x:v>
      </x:c>
      <x:c r="J15" s="69" t="n">
        <x:f>D15-I15</x:f>
        <x:v>0</x:v>
      </x:c>
      <x:c r="K15" s="72" t="str">
        <x:v>Replace all hypothetical entries with supported actual records</x:v>
      </x:c>
      <x:c r="L15" s="53"/>
      <x:c r="M15" s="53"/>
      <x:c r="N15" s="53"/>
    </x:row>
    <x:row r="16">
      <x:c r="A16" s="73" t="n">
        <x:v>46054</x:v>
      </x:c>
      <x:c r="B16" s="74" t="n">
        <x:v>46093</x:v>
      </x:c>
      <x:c r="C16" s="75" t="str">
        <x:v>Check 156</x:v>
      </x:c>
      <x:c r="D16" s="76" t="n">
        <x:v>2000</x:v>
      </x:c>
      <x:c r="E16" s="77" t="n">
        <x:f>SUMIFS('Hypothetical Log'!$J$6:$J$139,'Hypothetical Log'!$C$6:$C$139,A16)</x:f>
        <x:v>80</x:v>
      </x:c>
      <x:c r="F16" s="77" t="n">
        <x:f>SUMIFS('Hypothetical Log'!$K$6:$K$139,'Hypothetical Log'!$C$6:$C$139,A16)</x:f>
        <x:v>0</x:v>
      </x:c>
      <x:c r="G16" s="76" t="n">
        <x:f>E16*$B$10+F16*$B$10*1.5</x:f>
        <x:v>2000</x:v>
      </x:c>
      <x:c r="H16" s="78" t="n">
        <x:f>D16-G16</x:f>
        <x:v>0</x:v>
      </x:c>
      <x:c r="I16" s="76" t="n">
        <x:f>G16+H16</x:f>
        <x:v>2000</x:v>
      </x:c>
      <x:c r="J16" s="76" t="n">
        <x:f>D16-I16</x:f>
        <x:v>0</x:v>
      </x:c>
      <x:c r="K16" s="79" t="str">
        <x:v>Replace all hypothetical entries with supported actual records</x:v>
      </x:c>
      <x:c r="L16" s="53"/>
      <x:c r="M16" s="53"/>
      <x:c r="N16" s="53"/>
    </x:row>
    <x:row r="17">
      <x:c r="A17" s="73" t="n">
        <x:v>46082</x:v>
      </x:c>
      <x:c r="B17" s="74" t="n">
        <x:v>46115</x:v>
      </x:c>
      <x:c r="C17" s="75" t="str">
        <x:v>ACH</x:v>
      </x:c>
      <x:c r="D17" s="76" t="n">
        <x:v>3000</x:v>
      </x:c>
      <x:c r="E17" s="77" t="n">
        <x:f>SUMIFS('Hypothetical Log'!$J$6:$J$139,'Hypothetical Log'!$C$6:$C$139,A17)</x:f>
        <x:v>120</x:v>
      </x:c>
      <x:c r="F17" s="77" t="n">
        <x:f>SUMIFS('Hypothetical Log'!$K$6:$K$139,'Hypothetical Log'!$C$6:$C$139,A17)</x:f>
        <x:v>0</x:v>
      </x:c>
      <x:c r="G17" s="76" t="n">
        <x:f>E17*$B$10+F17*$B$10*1.5</x:f>
        <x:v>3000</x:v>
      </x:c>
      <x:c r="H17" s="78" t="n">
        <x:f>D17-G17</x:f>
        <x:v>0</x:v>
      </x:c>
      <x:c r="I17" s="76" t="n">
        <x:f>G17+H17</x:f>
        <x:v>3000</x:v>
      </x:c>
      <x:c r="J17" s="76" t="n">
        <x:f>D17-I17</x:f>
        <x:v>0</x:v>
      </x:c>
      <x:c r="K17" s="79" t="str">
        <x:v>Replace all hypothetical entries with supported actual records</x:v>
      </x:c>
      <x:c r="L17" s="53"/>
      <x:c r="M17" s="53"/>
      <x:c r="N17" s="53"/>
    </x:row>
    <x:row r="18">
      <x:c r="A18" s="73" t="n">
        <x:v>46113</x:v>
      </x:c>
      <x:c r="B18" s="74" t="n">
        <x:v>46143</x:v>
      </x:c>
      <x:c r="C18" s="75" t="str">
        <x:v>ACH</x:v>
      </x:c>
      <x:c r="D18" s="76" t="n">
        <x:v>4700</x:v>
      </x:c>
      <x:c r="E18" s="77" t="n">
        <x:f>SUMIFS('Hypothetical Log'!$J$6:$J$139,'Hypothetical Log'!$C$6:$C$139,A18)</x:f>
        <x:v>176.75</x:v>
      </x:c>
      <x:c r="F18" s="77" t="n">
        <x:f>SUMIFS('Hypothetical Log'!$K$6:$K$139,'Hypothetical Log'!$C$6:$C$139,A18)</x:f>
        <x:v>3.25</x:v>
      </x:c>
      <x:c r="G18" s="76" t="n">
        <x:f>E18*$B$10+F18*$B$10*1.5</x:f>
        <x:v>4540.625</x:v>
      </x:c>
      <x:c r="H18" s="78" t="n">
        <x:f>D18-G18</x:f>
        <x:v>159.375</x:v>
      </x:c>
      <x:c r="I18" s="76" t="n">
        <x:f>G18+H18</x:f>
        <x:v>4700</x:v>
      </x:c>
      <x:c r="J18" s="76" t="n">
        <x:f>D18-I18</x:f>
        <x:v>0</x:v>
      </x:c>
      <x:c r="K18" s="79" t="str">
        <x:v>Replace all hypothetical entries with supported actual records</x:v>
      </x:c>
      <x:c r="L18" s="53"/>
      <x:c r="M18" s="53"/>
      <x:c r="N18" s="53"/>
    </x:row>
    <x:row r="19">
      <x:c r="A19" s="73" t="n">
        <x:v>46143</x:v>
      </x:c>
      <x:c r="B19" s="74" t="n">
        <x:v>46178</x:v>
      </x:c>
      <x:c r="C19" s="75" t="str">
        <x:v>ACH</x:v>
      </x:c>
      <x:c r="D19" s="76" t="n">
        <x:v>4238</x:v>
      </x:c>
      <x:c r="E19" s="77" t="n">
        <x:f>SUMIFS('Hypothetical Log'!$J$6:$J$139,'Hypothetical Log'!$C$6:$C$139,A19)</x:f>
        <x:v>165</x:v>
      </x:c>
      <x:c r="F19" s="77" t="n">
        <x:f>SUMIFS('Hypothetical Log'!$K$6:$K$139,'Hypothetical Log'!$C$6:$C$139,A19)</x:f>
        <x:v>0</x:v>
      </x:c>
      <x:c r="G19" s="76" t="n">
        <x:f>E19*$B$10+F19*$B$10*1.5</x:f>
        <x:v>4125</x:v>
      </x:c>
      <x:c r="H19" s="78" t="n">
        <x:f>D19-G19</x:f>
        <x:v>113</x:v>
      </x:c>
      <x:c r="I19" s="76" t="n">
        <x:f>G19+H19</x:f>
        <x:v>4238</x:v>
      </x:c>
      <x:c r="J19" s="76" t="n">
        <x:f>D19-I19</x:f>
        <x:v>0</x:v>
      </x:c>
      <x:c r="K19" s="79" t="str">
        <x:v>Replace all hypothetical entries with supported actual records</x:v>
      </x:c>
      <x:c r="L19" s="53"/>
      <x:c r="M19" s="53"/>
      <x:c r="N19" s="53"/>
    </x:row>
    <x:row r="20">
      <x:c r="A20" s="73" t="n">
        <x:v>46174</x:v>
      </x:c>
      <x:c r="B20" s="74" t="n">
        <x:v>46209</x:v>
      </x:c>
      <x:c r="C20" s="75" t="str">
        <x:v>ACH</x:v>
      </x:c>
      <x:c r="D20" s="76" t="n">
        <x:v>5000</x:v>
      </x:c>
      <x:c r="E20" s="77" t="n">
        <x:f>SUMIFS('Hypothetical Log'!$J$6:$J$139,'Hypothetical Log'!$C$6:$C$139,A20)</x:f>
        <x:v>177</x:v>
      </x:c>
      <x:c r="F20" s="77" t="n">
        <x:f>SUMIFS('Hypothetical Log'!$K$6:$K$139,'Hypothetical Log'!$C$6:$C$139,A20)</x:f>
        <x:v>13</x:v>
      </x:c>
      <x:c r="G20" s="76" t="n">
        <x:f>E20*$B$10+F20*$B$10*1.5</x:f>
        <x:v>4912.5</x:v>
      </x:c>
      <x:c r="H20" s="78" t="n">
        <x:f>D20-G20</x:f>
        <x:v>87.5</x:v>
      </x:c>
      <x:c r="I20" s="76" t="n">
        <x:f>G20+H20</x:f>
        <x:v>5000</x:v>
      </x:c>
      <x:c r="J20" s="76" t="n">
        <x:f>D20-I20</x:f>
        <x:v>0</x:v>
      </x:c>
      <x:c r="K20" s="79" t="str">
        <x:v>Replace all hypothetical entries with supported actual records</x:v>
      </x:c>
      <x:c r="L20" s="53"/>
      <x:c r="M20" s="53"/>
      <x:c r="N20" s="53"/>
    </x:row>
    <x:row r="21">
      <x:c r="A21" s="80" t="n">
        <x:v>46204</x:v>
      </x:c>
      <x:c r="B21" s="81" t="n">
        <x:v>46237</x:v>
      </x:c>
      <x:c r="C21" s="82" t="str">
        <x:v>ACH</x:v>
      </x:c>
      <x:c r="D21" s="83" t="n">
        <x:v>4140</x:v>
      </x:c>
      <x:c r="E21" s="84" t="n">
        <x:f>SUMIFS('Hypothetical Log'!$J$6:$J$139,'Hypothetical Log'!$C$6:$C$139,A21)</x:f>
        <x:v>160</x:v>
      </x:c>
      <x:c r="F21" s="84" t="n">
        <x:f>SUMIFS('Hypothetical Log'!$K$6:$K$139,'Hypothetical Log'!$C$6:$C$139,A21)</x:f>
        <x:v>0</x:v>
      </x:c>
      <x:c r="G21" s="83" t="n">
        <x:f>E21*$B$10+F21*$B$10*1.5</x:f>
        <x:v>4000</x:v>
      </x:c>
      <x:c r="H21" s="85" t="n">
        <x:f>D21-G21</x:f>
        <x:v>140</x:v>
      </x:c>
      <x:c r="I21" s="83" t="n">
        <x:f>G21+H21</x:f>
        <x:v>4140</x:v>
      </x:c>
      <x:c r="J21" s="83" t="n">
        <x:f>D21-I21</x:f>
        <x:v>0</x:v>
      </x:c>
      <x:c r="K21" s="86" t="str">
        <x:v>Replace all hypothetical entries with supported actual records</x:v>
      </x:c>
      <x:c r="L21" s="53"/>
      <x:c r="M21" s="53"/>
      <x:c r="N21" s="53"/>
    </x:row>
    <x:row r="22">
      <x:c r="A22" s="37" t="str">
        <x:v>Total</x:v>
      </x:c>
      <x:c r="B22" s="37"/>
      <x:c r="C22" s="35"/>
      <x:c r="D22" s="40" t="n">
        <x:f>SUM(D15:D21)</x:f>
        <x:v>24078</x:v>
      </x:c>
      <x:c r="E22" s="42" t="n">
        <x:f>SUM(E15:E21)</x:f>
        <x:v>918.75</x:v>
      </x:c>
      <x:c r="F22" s="42" t="n">
        <x:f>SUM(F15:F21)</x:f>
        <x:v>16.25</x:v>
      </x:c>
      <x:c r="G22" s="40" t="n">
        <x:f>SUM(G15:G21)</x:f>
        <x:v>23578.125</x:v>
      </x:c>
      <x:c r="H22" s="40" t="n">
        <x:f>SUM(H15:H21)</x:f>
        <x:v>499.875</x:v>
      </x:c>
      <x:c r="I22" s="40" t="n">
        <x:f>SUM(I15:I21)</x:f>
        <x:v>24078</x:v>
      </x:c>
      <x:c r="J22" s="40" t="n">
        <x:f>SUM(J15:J21)</x:f>
        <x:v>0</x:v>
      </x:c>
      <x:c r="K22" s="35"/>
      <x:c r="L22" s="53"/>
      <x:c r="M22" s="53"/>
      <x:c r="N22" s="53"/>
    </x:row>
    <x:row r="23">
      <x:c r="A23" s="53"/>
      <x:c r="B23" s="53"/>
      <x:c r="C23" s="53"/>
      <x:c r="D23" s="53"/>
      <x:c r="E23" s="53"/>
      <x:c r="F23" s="53"/>
      <x:c r="G23" s="53"/>
      <x:c r="H23" s="53"/>
      <x:c r="I23" s="53"/>
      <x:c r="J23" s="53"/>
      <x:c r="K23" s="53"/>
      <x:c r="L23" s="53"/>
      <x:c r="M23" s="53"/>
      <x:c r="N23" s="53"/>
    </x:row>
    <x:row r="24">
      <x:c r="A24" s="53"/>
      <x:c r="B24" s="53"/>
      <x:c r="C24" s="53"/>
      <x:c r="D24" s="53"/>
      <x:c r="E24" s="53"/>
      <x:c r="F24" s="53"/>
      <x:c r="G24" s="53"/>
      <x:c r="H24" s="53"/>
      <x:c r="I24" s="53"/>
      <x:c r="J24" s="53"/>
      <x:c r="K24" s="53"/>
      <x:c r="L24" s="53"/>
      <x:c r="M24" s="53"/>
      <x:c r="N24" s="53"/>
    </x:row>
    <x:row r="25">
      <x:c r="A25" s="48" t="str">
        <x:v>How to use this example</x:v>
      </x:c>
      <x:c r="B25" s="48"/>
      <x:c r="C25" s="48"/>
      <x:c r="D25" s="48"/>
      <x:c r="E25" s="48"/>
      <x:c r="F25" s="48"/>
      <x:c r="G25" s="48"/>
      <x:c r="H25" s="48"/>
      <x:c r="I25" s="48"/>
      <x:c r="J25" s="48"/>
      <x:c r="K25" s="48"/>
      <x:c r="L25" s="53"/>
      <x:c r="M25" s="53"/>
      <x:c r="N25" s="53"/>
    </x:row>
    <x:row r="26" ht="30" customHeight="1">
      <x:c r="A26" s="51" t="str">
        <x:v>1. Replace every yellow planning/instruction entry on Hypothetical Log with hours supported by schedules, calendars, messages, access records, or contemporaneous notes.</x:v>
      </x:c>
      <x:c r="B26" s="51"/>
      <x:c r="C26" s="51"/>
      <x:c r="D26" s="51"/>
      <x:c r="E26" s="51"/>
      <x:c r="F26" s="51"/>
      <x:c r="G26" s="51"/>
      <x:c r="H26" s="51"/>
      <x:c r="I26" s="51"/>
      <x:c r="J26" s="51"/>
      <x:c r="K26" s="51"/>
      <x:c r="L26" s="53"/>
      <x:c r="M26" s="53"/>
      <x:c r="N26" s="53"/>
    </x:row>
    <x:row r="27" ht="30" customHeight="1">
      <x:c r="A27" s="51" t="str">
        <x:v>2. Include real planning, setup, cleaning, meetings, and administrative work. Do not add hours merely to make a payment total match.</x:v>
      </x:c>
      <x:c r="B27" s="51"/>
      <x:c r="C27" s="51"/>
      <x:c r="D27" s="51"/>
      <x:c r="E27" s="51"/>
      <x:c r="F27" s="51"/>
      <x:c r="G27" s="51"/>
      <x:c r="H27" s="51"/>
      <x:c r="I27" s="51"/>
      <x:c r="J27" s="51"/>
      <x:c r="K27" s="51"/>
      <x:c r="L27" s="53"/>
      <x:c r="M27" s="53"/>
      <x:c r="N27" s="53"/>
    </x:row>
    <x:row r="28" ht="30" customHeight="1">
      <x:c r="A28" s="51" t="str">
        <x:v>3. The example-only taxable adjustment makes this illustration reconcile. Delete it unless a genuine, documented bonus or other taxable payment existed.</x:v>
      </x:c>
      <x:c r="B28" s="51"/>
      <x:c r="C28" s="51"/>
      <x:c r="D28" s="51"/>
      <x:c r="E28" s="51"/>
      <x:c r="F28" s="51"/>
      <x:c r="G28" s="51"/>
      <x:c r="H28" s="51"/>
      <x:c r="I28" s="51"/>
      <x:c r="J28" s="51"/>
      <x:c r="K28" s="51"/>
      <x:c r="L28" s="53"/>
      <x:c r="M28" s="53"/>
      <x:c r="N28" s="53"/>
    </x:row>
    <x:row r="29" ht="30" customHeight="1">
      <x:c r="A29" s="51" t="str">
        <x:v>4. Confirm the employer's actual seven-day workweek before calculating overtime. Calendar-month totals do not determine overtime.</x:v>
      </x:c>
      <x:c r="B29" s="51"/>
      <x:c r="C29" s="51"/>
      <x:c r="D29" s="51"/>
      <x:c r="E29" s="51"/>
      <x:c r="F29" s="51"/>
      <x:c r="G29" s="51"/>
      <x:c r="H29" s="51"/>
      <x:c r="I29" s="51"/>
      <x:c r="J29" s="51"/>
      <x:c r="K29" s="51"/>
      <x:c r="L29" s="53"/>
      <x:c r="M29" s="53"/>
      <x:c r="N29" s="53"/>
    </x:row>
    <x:row r="30" ht="30" customHeight="1">
      <x:c r="A30" s="51" t="str">
        <x:v>5. Give the reconstructed actual log and payment evidence to the payroll provider or accountant for historical payroll and tax filings.</x:v>
      </x:c>
      <x:c r="B30" s="51"/>
      <x:c r="C30" s="51"/>
      <x:c r="D30" s="51"/>
      <x:c r="E30" s="51"/>
      <x:c r="F30" s="51"/>
      <x:c r="G30" s="51"/>
      <x:c r="H30" s="51"/>
      <x:c r="I30" s="51"/>
      <x:c r="J30" s="51"/>
      <x:c r="K30" s="51"/>
      <x:c r="L30" s="53"/>
      <x:c r="M30" s="53"/>
      <x:c r="N30" s="53"/>
    </x:row>
  </x:sheetData>
  <x:mergeCells>
    <x:mergeCell ref="A2:K2"/>
    <x:mergeCell ref="A5:K5"/>
    <x:mergeCell ref="B7:D7"/>
    <x:mergeCell ref="B8:D8"/>
    <x:mergeCell ref="B9:D9"/>
    <x:mergeCell ref="B10:D10"/>
    <x:mergeCell ref="B11:D11"/>
    <x:mergeCell ref="B12:D12"/>
    <x:mergeCell ref="A22:C22"/>
    <x:mergeCell ref="A25:K25"/>
    <x:mergeCell ref="A26:K26"/>
    <x:mergeCell ref="A27:K27"/>
    <x:mergeCell ref="A28:K28"/>
    <x:mergeCell ref="A29:K29"/>
    <x:mergeCell ref="A30:K30"/>
  </x:mergeCells>
  <x:conditionalFormatting sqref="J15:J22">
    <x:cfRule type="cellIs" dxfId="0" priority="1" operator="notEqual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12" hidden="0" customWidth="1"/>
    <x:col min="2" max="2" width="8" hidden="0" customWidth="1"/>
    <x:col min="3" max="3" width="13" hidden="0" customWidth="1"/>
    <x:col min="4" max="4" width="13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58" hidden="0" customWidth="1"/>
  </x:cols>
  <x:sheetData>
    <x:row r="2" ht="26" customHeight="1">
      <x:c r="A2" s="1" t="str">
        <x:v>Hypothetical daily time log — replace with actual evidence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30" customHeight="1">
      <x:c r="A3" s="87" t="str">
        <x:v>Instruction is assumed within 4–9 PM. Planning may occur earlier. Every entry below is synthetic and must not be used as an actual employee record.</x:v>
      </x:c>
      <x:c r="B3" s="87"/>
      <x:c r="C3" s="87"/>
      <x:c r="D3" s="87"/>
      <x:c r="E3" s="87"/>
      <x:c r="F3" s="87"/>
      <x:c r="G3" s="87"/>
      <x:c r="H3" s="87"/>
      <x:c r="I3" s="87"/>
      <x:c r="J3" s="87"/>
      <x:c r="K3" s="87"/>
      <x:c r="L3" s="87"/>
      <x:c r="M3" s="87"/>
      <x:c r="N3" s="87"/>
      <x:c r="O3" s="87"/>
    </x:row>
    <x:row r="5" ht="34" customHeight="1">
      <x:c r="A5" s="30" t="str">
        <x:v>Date</x:v>
      </x:c>
      <x:c r="B5" s="31" t="str">
        <x:v>Day</x:v>
      </x:c>
      <x:c r="C5" s="31" t="str">
        <x:v>Month</x:v>
      </x:c>
      <x:c r="D5" s="31" t="str">
        <x:v>Week starting</x:v>
      </x:c>
      <x:c r="E5" s="31" t="str">
        <x:v>Planning hours</x:v>
      </x:c>
      <x:c r="F5" s="31" t="str">
        <x:v>Instruction hours</x:v>
      </x:c>
      <x:c r="G5" s="31" t="str">
        <x:v>Unpaid break</x:v>
      </x:c>
      <x:c r="H5" s="31" t="str">
        <x:v>Total hours</x:v>
      </x:c>
      <x:c r="I5" s="31" t="str">
        <x:v>Prior week hours</x:v>
      </x:c>
      <x:c r="J5" s="31" t="str">
        <x:v>Regular hours</x:v>
      </x:c>
      <x:c r="K5" s="31" t="str">
        <x:v>Overtime hours</x:v>
      </x:c>
      <x:c r="L5" s="31" t="str">
        <x:v>Regular wages</x:v>
      </x:c>
      <x:c r="M5" s="31" t="str">
        <x:v>Overtime wages</x:v>
      </x:c>
      <x:c r="N5" s="31" t="str">
        <x:v>Total hourly wages</x:v>
      </x:c>
      <x:c r="O5" s="32" t="str">
        <x:v>Evidence / notes</x:v>
      </x:c>
    </x:row>
    <x:row r="6">
      <x:c r="A6" s="98" t="n">
        <x:v>46023</x:v>
      </x:c>
      <x:c r="B6" s="99" t="str">
        <x:v>Thu</x:v>
      </x:c>
      <x:c r="C6" s="100" t="n">
        <x:v>46023</x:v>
      </x:c>
      <x:c r="D6" s="101" t="n">
        <x:v>46020</x:v>
      </x:c>
      <x:c r="E6" s="102" t="n">
        <x:v>0</x:v>
      </x:c>
      <x:c r="F6" s="102" t="n">
        <x:v>5</x:v>
      </x:c>
      <x:c r="G6" s="102" t="n">
        <x:v>0</x:v>
      </x:c>
      <x:c r="H6" s="103" t="n">
        <x:f>E6+F6-G6</x:f>
        <x:v>5</x:v>
      </x:c>
      <x:c r="I6" s="103" t="n">
        <x:f>SUMIFS($H$6:H6,$D$6:D6,D6)-H6</x:f>
        <x:v>0</x:v>
      </x:c>
      <x:c r="J6" s="103" t="n">
        <x:f>MIN(H6,MAX(0,40-I6))</x:f>
        <x:v>5</x:v>
      </x:c>
      <x:c r="K6" s="103" t="n">
        <x:f>H6-J6</x:f>
        <x:v>0</x:v>
      </x:c>
      <x:c r="L6" s="104" t="n">
        <x:f>J6*Reconciliation!$B$10</x:f>
        <x:v>125</x:v>
      </x:c>
      <x:c r="M6" s="104" t="n">
        <x:f>K6*Reconciliation!$B$10*1.5</x:f>
        <x:v>0</x:v>
      </x:c>
      <x:c r="N6" s="104" t="n">
        <x:f>L6+M6</x:f>
        <x:v>125</x:v>
      </x:c>
      <x:c r="O6" s="105" t="str">
        <x:v>Hypothetical instruction assumed within 4–9 PM</x:v>
      </x:c>
    </x:row>
    <x:row r="7">
      <x:c r="A7" s="106" t="n">
        <x:v>46024</x:v>
      </x:c>
      <x:c r="B7" s="107" t="str">
        <x:v>Fri</x:v>
      </x:c>
      <x:c r="C7" s="108" t="n">
        <x:v>46023</x:v>
      </x:c>
      <x:c r="D7" s="109" t="n">
        <x:v>46020</x:v>
      </x:c>
      <x:c r="E7" s="110" t="n">
        <x:v>0</x:v>
      </x:c>
      <x:c r="F7" s="110" t="n">
        <x:v>5</x:v>
      </x:c>
      <x:c r="G7" s="110" t="n">
        <x:v>0</x:v>
      </x:c>
      <x:c r="H7" s="111" t="n">
        <x:f>E7+F7-G7</x:f>
        <x:v>5</x:v>
      </x:c>
      <x:c r="I7" s="111" t="n">
        <x:f>SUMIFS($H$6:H7,$D$6:D7,D7)-H7</x:f>
        <x:v>5</x:v>
      </x:c>
      <x:c r="J7" s="111" t="n">
        <x:f>MIN(H7,MAX(0,40-I7))</x:f>
        <x:v>5</x:v>
      </x:c>
      <x:c r="K7" s="111" t="n">
        <x:f>H7-J7</x:f>
        <x:v>0</x:v>
      </x:c>
      <x:c r="L7" s="112" t="n">
        <x:f>J7*Reconciliation!$B$10</x:f>
        <x:v>125</x:v>
      </x:c>
      <x:c r="M7" s="112" t="n">
        <x:f>K7*Reconciliation!$B$10*1.5</x:f>
        <x:v>0</x:v>
      </x:c>
      <x:c r="N7" s="112" t="n">
        <x:f>L7+M7</x:f>
        <x:v>125</x:v>
      </x:c>
      <x:c r="O7" s="113" t="str">
        <x:v>Hypothetical instruction assumed within 4–9 PM</x:v>
      </x:c>
    </x:row>
    <x:row r="8">
      <x:c r="A8" s="106" t="n">
        <x:v>46027</x:v>
      </x:c>
      <x:c r="B8" s="107" t="str">
        <x:v>Mon</x:v>
      </x:c>
      <x:c r="C8" s="108" t="n">
        <x:v>46023</x:v>
      </x:c>
      <x:c r="D8" s="109" t="n">
        <x:v>46027</x:v>
      </x:c>
      <x:c r="E8" s="110" t="n">
        <x:v>0</x:v>
      </x:c>
      <x:c r="F8" s="110" t="n">
        <x:v>5</x:v>
      </x:c>
      <x:c r="G8" s="110" t="n">
        <x:v>0</x:v>
      </x:c>
      <x:c r="H8" s="111" t="n">
        <x:f>E8+F8-G8</x:f>
        <x:v>5</x:v>
      </x:c>
      <x:c r="I8" s="111" t="n">
        <x:f>SUMIFS($H$6:H8,$D$6:D8,D8)-H8</x:f>
        <x:v>0</x:v>
      </x:c>
      <x:c r="J8" s="111" t="n">
        <x:f>MIN(H8,MAX(0,40-I8))</x:f>
        <x:v>5</x:v>
      </x:c>
      <x:c r="K8" s="111" t="n">
        <x:f>H8-J8</x:f>
        <x:v>0</x:v>
      </x:c>
      <x:c r="L8" s="112" t="n">
        <x:f>J8*Reconciliation!$B$10</x:f>
        <x:v>125</x:v>
      </x:c>
      <x:c r="M8" s="112" t="n">
        <x:f>K8*Reconciliation!$B$10*1.5</x:f>
        <x:v>0</x:v>
      </x:c>
      <x:c r="N8" s="112" t="n">
        <x:f>L8+M8</x:f>
        <x:v>125</x:v>
      </x:c>
      <x:c r="O8" s="113" t="str">
        <x:v>Hypothetical instruction assumed within 4–9 PM</x:v>
      </x:c>
    </x:row>
    <x:row r="9">
      <x:c r="A9" s="106" t="n">
        <x:v>46028</x:v>
      </x:c>
      <x:c r="B9" s="107" t="str">
        <x:v>Tue</x:v>
      </x:c>
      <x:c r="C9" s="108" t="n">
        <x:v>46023</x:v>
      </x:c>
      <x:c r="D9" s="109" t="n">
        <x:v>46027</x:v>
      </x:c>
      <x:c r="E9" s="110" t="n">
        <x:v>0</x:v>
      </x:c>
      <x:c r="F9" s="110" t="n">
        <x:v>5</x:v>
      </x:c>
      <x:c r="G9" s="110" t="n">
        <x:v>0</x:v>
      </x:c>
      <x:c r="H9" s="111" t="n">
        <x:f>E9+F9-G9</x:f>
        <x:v>5</x:v>
      </x:c>
      <x:c r="I9" s="111" t="n">
        <x:f>SUMIFS($H$6:H9,$D$6:D9,D9)-H9</x:f>
        <x:v>5</x:v>
      </x:c>
      <x:c r="J9" s="111" t="n">
        <x:f>MIN(H9,MAX(0,40-I9))</x:f>
        <x:v>5</x:v>
      </x:c>
      <x:c r="K9" s="111" t="n">
        <x:f>H9-J9</x:f>
        <x:v>0</x:v>
      </x:c>
      <x:c r="L9" s="112" t="n">
        <x:f>J9*Reconciliation!$B$10</x:f>
        <x:v>125</x:v>
      </x:c>
      <x:c r="M9" s="112" t="n">
        <x:f>K9*Reconciliation!$B$10*1.5</x:f>
        <x:v>0</x:v>
      </x:c>
      <x:c r="N9" s="112" t="n">
        <x:f>L9+M9</x:f>
        <x:v>125</x:v>
      </x:c>
      <x:c r="O9" s="113" t="str">
        <x:v>Hypothetical instruction assumed within 4–9 PM</x:v>
      </x:c>
    </x:row>
    <x:row r="10">
      <x:c r="A10" s="106" t="n">
        <x:v>46029</x:v>
      </x:c>
      <x:c r="B10" s="107" t="str">
        <x:v>Wed</x:v>
      </x:c>
      <x:c r="C10" s="108" t="n">
        <x:v>46023</x:v>
      </x:c>
      <x:c r="D10" s="109" t="n">
        <x:v>46027</x:v>
      </x:c>
      <x:c r="E10" s="110" t="n">
        <x:v>0</x:v>
      </x:c>
      <x:c r="F10" s="110" t="n">
        <x:v>5</x:v>
      </x:c>
      <x:c r="G10" s="110" t="n">
        <x:v>0</x:v>
      </x:c>
      <x:c r="H10" s="111" t="n">
        <x:f>E10+F10-G10</x:f>
        <x:v>5</x:v>
      </x:c>
      <x:c r="I10" s="111" t="n">
        <x:f>SUMIFS($H$6:H10,$D$6:D10,D10)-H10</x:f>
        <x:v>10</x:v>
      </x:c>
      <x:c r="J10" s="111" t="n">
        <x:f>MIN(H10,MAX(0,40-I10))</x:f>
        <x:v>5</x:v>
      </x:c>
      <x:c r="K10" s="111" t="n">
        <x:f>H10-J10</x:f>
        <x:v>0</x:v>
      </x:c>
      <x:c r="L10" s="112" t="n">
        <x:f>J10*Reconciliation!$B$10</x:f>
        <x:v>125</x:v>
      </x:c>
      <x:c r="M10" s="112" t="n">
        <x:f>K10*Reconciliation!$B$10*1.5</x:f>
        <x:v>0</x:v>
      </x:c>
      <x:c r="N10" s="112" t="n">
        <x:f>L10+M10</x:f>
        <x:v>125</x:v>
      </x:c>
      <x:c r="O10" s="113" t="str">
        <x:v>Hypothetical instruction assumed within 4–9 PM</x:v>
      </x:c>
    </x:row>
    <x:row r="11">
      <x:c r="A11" s="106" t="n">
        <x:v>46030</x:v>
      </x:c>
      <x:c r="B11" s="107" t="str">
        <x:v>Thu</x:v>
      </x:c>
      <x:c r="C11" s="108" t="n">
        <x:v>46023</x:v>
      </x:c>
      <x:c r="D11" s="109" t="n">
        <x:v>46027</x:v>
      </x:c>
      <x:c r="E11" s="110" t="n">
        <x:v>0</x:v>
      </x:c>
      <x:c r="F11" s="110" t="n">
        <x:v>5</x:v>
      </x:c>
      <x:c r="G11" s="110" t="n">
        <x:v>0</x:v>
      </x:c>
      <x:c r="H11" s="111" t="n">
        <x:f>E11+F11-G11</x:f>
        <x:v>5</x:v>
      </x:c>
      <x:c r="I11" s="111" t="n">
        <x:f>SUMIFS($H$6:H11,$D$6:D11,D11)-H11</x:f>
        <x:v>15</x:v>
      </x:c>
      <x:c r="J11" s="111" t="n">
        <x:f>MIN(H11,MAX(0,40-I11))</x:f>
        <x:v>5</x:v>
      </x:c>
      <x:c r="K11" s="111" t="n">
        <x:f>H11-J11</x:f>
        <x:v>0</x:v>
      </x:c>
      <x:c r="L11" s="112" t="n">
        <x:f>J11*Reconciliation!$B$10</x:f>
        <x:v>125</x:v>
      </x:c>
      <x:c r="M11" s="112" t="n">
        <x:f>K11*Reconciliation!$B$10*1.5</x:f>
        <x:v>0</x:v>
      </x:c>
      <x:c r="N11" s="112" t="n">
        <x:f>L11+M11</x:f>
        <x:v>125</x:v>
      </x:c>
      <x:c r="O11" s="113" t="str">
        <x:v>Hypothetical instruction assumed within 4–9 PM</x:v>
      </x:c>
    </x:row>
    <x:row r="12">
      <x:c r="A12" s="106" t="n">
        <x:v>46031</x:v>
      </x:c>
      <x:c r="B12" s="107" t="str">
        <x:v>Fri</x:v>
      </x:c>
      <x:c r="C12" s="108" t="n">
        <x:v>46023</x:v>
      </x:c>
      <x:c r="D12" s="109" t="n">
        <x:v>46027</x:v>
      </x:c>
      <x:c r="E12" s="110" t="n">
        <x:v>0</x:v>
      </x:c>
      <x:c r="F12" s="110" t="n">
        <x:v>5</x:v>
      </x:c>
      <x:c r="G12" s="110" t="n">
        <x:v>0</x:v>
      </x:c>
      <x:c r="H12" s="111" t="n">
        <x:f>E12+F12-G12</x:f>
        <x:v>5</x:v>
      </x:c>
      <x:c r="I12" s="111" t="n">
        <x:f>SUMIFS($H$6:H12,$D$6:D12,D12)-H12</x:f>
        <x:v>20</x:v>
      </x:c>
      <x:c r="J12" s="111" t="n">
        <x:f>MIN(H12,MAX(0,40-I12))</x:f>
        <x:v>5</x:v>
      </x:c>
      <x:c r="K12" s="111" t="n">
        <x:f>H12-J12</x:f>
        <x:v>0</x:v>
      </x:c>
      <x:c r="L12" s="112" t="n">
        <x:f>J12*Reconciliation!$B$10</x:f>
        <x:v>125</x:v>
      </x:c>
      <x:c r="M12" s="112" t="n">
        <x:f>K12*Reconciliation!$B$10*1.5</x:f>
        <x:v>0</x:v>
      </x:c>
      <x:c r="N12" s="112" t="n">
        <x:f>L12+M12</x:f>
        <x:v>125</x:v>
      </x:c>
      <x:c r="O12" s="113" t="str">
        <x:v>Hypothetical instruction assumed within 4–9 PM</x:v>
      </x:c>
    </x:row>
    <x:row r="13">
      <x:c r="A13" s="106" t="n">
        <x:v>46034</x:v>
      </x:c>
      <x:c r="B13" s="107" t="str">
        <x:v>Mon</x:v>
      </x:c>
      <x:c r="C13" s="108" t="n">
        <x:v>46023</x:v>
      </x:c>
      <x:c r="D13" s="109" t="n">
        <x:v>46034</x:v>
      </x:c>
      <x:c r="E13" s="110" t="n">
        <x:v>0</x:v>
      </x:c>
      <x:c r="F13" s="110" t="n">
        <x:v>5</x:v>
      </x:c>
      <x:c r="G13" s="110" t="n">
        <x:v>0</x:v>
      </x:c>
      <x:c r="H13" s="111" t="n">
        <x:f>E13+F13-G13</x:f>
        <x:v>5</x:v>
      </x:c>
      <x:c r="I13" s="111" t="n">
        <x:f>SUMIFS($H$6:H13,$D$6:D13,D13)-H13</x:f>
        <x:v>0</x:v>
      </x:c>
      <x:c r="J13" s="111" t="n">
        <x:f>MIN(H13,MAX(0,40-I13))</x:f>
        <x:v>5</x:v>
      </x:c>
      <x:c r="K13" s="111" t="n">
        <x:f>H13-J13</x:f>
        <x:v>0</x:v>
      </x:c>
      <x:c r="L13" s="112" t="n">
        <x:f>J13*Reconciliation!$B$10</x:f>
        <x:v>125</x:v>
      </x:c>
      <x:c r="M13" s="112" t="n">
        <x:f>K13*Reconciliation!$B$10*1.5</x:f>
        <x:v>0</x:v>
      </x:c>
      <x:c r="N13" s="112" t="n">
        <x:f>L13+M13</x:f>
        <x:v>125</x:v>
      </x:c>
      <x:c r="O13" s="113" t="str">
        <x:v>Hypothetical instruction assumed within 4–9 PM</x:v>
      </x:c>
    </x:row>
    <x:row r="14">
      <x:c r="A14" s="106" t="n">
        <x:v>46055</x:v>
      </x:c>
      <x:c r="B14" s="107" t="str">
        <x:v>Mon</x:v>
      </x:c>
      <x:c r="C14" s="108" t="n">
        <x:v>46054</x:v>
      </x:c>
      <x:c r="D14" s="109" t="n">
        <x:v>46055</x:v>
      </x:c>
      <x:c r="E14" s="110" t="n">
        <x:v>0</x:v>
      </x:c>
      <x:c r="F14" s="110" t="n">
        <x:v>5</x:v>
      </x:c>
      <x:c r="G14" s="110" t="n">
        <x:v>0</x:v>
      </x:c>
      <x:c r="H14" s="111" t="n">
        <x:f>E14+F14-G14</x:f>
        <x:v>5</x:v>
      </x:c>
      <x:c r="I14" s="111" t="n">
        <x:f>SUMIFS($H$6:H14,$D$6:D14,D14)-H14</x:f>
        <x:v>0</x:v>
      </x:c>
      <x:c r="J14" s="111" t="n">
        <x:f>MIN(H14,MAX(0,40-I14))</x:f>
        <x:v>5</x:v>
      </x:c>
      <x:c r="K14" s="111" t="n">
        <x:f>H14-J14</x:f>
        <x:v>0</x:v>
      </x:c>
      <x:c r="L14" s="112" t="n">
        <x:f>J14*Reconciliation!$B$10</x:f>
        <x:v>125</x:v>
      </x:c>
      <x:c r="M14" s="112" t="n">
        <x:f>K14*Reconciliation!$B$10*1.5</x:f>
        <x:v>0</x:v>
      </x:c>
      <x:c r="N14" s="112" t="n">
        <x:f>L14+M14</x:f>
        <x:v>125</x:v>
      </x:c>
      <x:c r="O14" s="113" t="str">
        <x:v>Hypothetical instruction assumed within 4–9 PM</x:v>
      </x:c>
    </x:row>
    <x:row r="15">
      <x:c r="A15" s="106" t="n">
        <x:v>46056</x:v>
      </x:c>
      <x:c r="B15" s="107" t="str">
        <x:v>Tue</x:v>
      </x:c>
      <x:c r="C15" s="108" t="n">
        <x:v>46054</x:v>
      </x:c>
      <x:c r="D15" s="109" t="n">
        <x:v>46055</x:v>
      </x:c>
      <x:c r="E15" s="110" t="n">
        <x:v>0</x:v>
      </x:c>
      <x:c r="F15" s="110" t="n">
        <x:v>5</x:v>
      </x:c>
      <x:c r="G15" s="110" t="n">
        <x:v>0</x:v>
      </x:c>
      <x:c r="H15" s="111" t="n">
        <x:f>E15+F15-G15</x:f>
        <x:v>5</x:v>
      </x:c>
      <x:c r="I15" s="111" t="n">
        <x:f>SUMIFS($H$6:H15,$D$6:D15,D15)-H15</x:f>
        <x:v>5</x:v>
      </x:c>
      <x:c r="J15" s="111" t="n">
        <x:f>MIN(H15,MAX(0,40-I15))</x:f>
        <x:v>5</x:v>
      </x:c>
      <x:c r="K15" s="111" t="n">
        <x:f>H15-J15</x:f>
        <x:v>0</x:v>
      </x:c>
      <x:c r="L15" s="112" t="n">
        <x:f>J15*Reconciliation!$B$10</x:f>
        <x:v>125</x:v>
      </x:c>
      <x:c r="M15" s="112" t="n">
        <x:f>K15*Reconciliation!$B$10*1.5</x:f>
        <x:v>0</x:v>
      </x:c>
      <x:c r="N15" s="112" t="n">
        <x:f>L15+M15</x:f>
        <x:v>125</x:v>
      </x:c>
      <x:c r="O15" s="113" t="str">
        <x:v>Hypothetical instruction assumed within 4–9 PM</x:v>
      </x:c>
    </x:row>
    <x:row r="16">
      <x:c r="A16" s="106" t="n">
        <x:v>46057</x:v>
      </x:c>
      <x:c r="B16" s="107" t="str">
        <x:v>Wed</x:v>
      </x:c>
      <x:c r="C16" s="108" t="n">
        <x:v>46054</x:v>
      </x:c>
      <x:c r="D16" s="109" t="n">
        <x:v>46055</x:v>
      </x:c>
      <x:c r="E16" s="110" t="n">
        <x:v>0</x:v>
      </x:c>
      <x:c r="F16" s="110" t="n">
        <x:v>5</x:v>
      </x:c>
      <x:c r="G16" s="110" t="n">
        <x:v>0</x:v>
      </x:c>
      <x:c r="H16" s="111" t="n">
        <x:f>E16+F16-G16</x:f>
        <x:v>5</x:v>
      </x:c>
      <x:c r="I16" s="111" t="n">
        <x:f>SUMIFS($H$6:H16,$D$6:D16,D16)-H16</x:f>
        <x:v>10</x:v>
      </x:c>
      <x:c r="J16" s="111" t="n">
        <x:f>MIN(H16,MAX(0,40-I16))</x:f>
        <x:v>5</x:v>
      </x:c>
      <x:c r="K16" s="111" t="n">
        <x:f>H16-J16</x:f>
        <x:v>0</x:v>
      </x:c>
      <x:c r="L16" s="112" t="n">
        <x:f>J16*Reconciliation!$B$10</x:f>
        <x:v>125</x:v>
      </x:c>
      <x:c r="M16" s="112" t="n">
        <x:f>K16*Reconciliation!$B$10*1.5</x:f>
        <x:v>0</x:v>
      </x:c>
      <x:c r="N16" s="112" t="n">
        <x:f>L16+M16</x:f>
        <x:v>125</x:v>
      </x:c>
      <x:c r="O16" s="113" t="str">
        <x:v>Hypothetical instruction assumed within 4–9 PM</x:v>
      </x:c>
    </x:row>
    <x:row r="17">
      <x:c r="A17" s="106" t="n">
        <x:v>46058</x:v>
      </x:c>
      <x:c r="B17" s="107" t="str">
        <x:v>Thu</x:v>
      </x:c>
      <x:c r="C17" s="108" t="n">
        <x:v>46054</x:v>
      </x:c>
      <x:c r="D17" s="109" t="n">
        <x:v>46055</x:v>
      </x:c>
      <x:c r="E17" s="110" t="n">
        <x:v>0</x:v>
      </x:c>
      <x:c r="F17" s="110" t="n">
        <x:v>5</x:v>
      </x:c>
      <x:c r="G17" s="110" t="n">
        <x:v>0</x:v>
      </x:c>
      <x:c r="H17" s="111" t="n">
        <x:f>E17+F17-G17</x:f>
        <x:v>5</x:v>
      </x:c>
      <x:c r="I17" s="111" t="n">
        <x:f>SUMIFS($H$6:H17,$D$6:D17,D17)-H17</x:f>
        <x:v>15</x:v>
      </x:c>
      <x:c r="J17" s="111" t="n">
        <x:f>MIN(H17,MAX(0,40-I17))</x:f>
        <x:v>5</x:v>
      </x:c>
      <x:c r="K17" s="111" t="n">
        <x:f>H17-J17</x:f>
        <x:v>0</x:v>
      </x:c>
      <x:c r="L17" s="112" t="n">
        <x:f>J17*Reconciliation!$B$10</x:f>
        <x:v>125</x:v>
      </x:c>
      <x:c r="M17" s="112" t="n">
        <x:f>K17*Reconciliation!$B$10*1.5</x:f>
        <x:v>0</x:v>
      </x:c>
      <x:c r="N17" s="112" t="n">
        <x:f>L17+M17</x:f>
        <x:v>125</x:v>
      </x:c>
      <x:c r="O17" s="113" t="str">
        <x:v>Hypothetical instruction assumed within 4–9 PM</x:v>
      </x:c>
    </x:row>
    <x:row r="18">
      <x:c r="A18" s="106" t="n">
        <x:v>46059</x:v>
      </x:c>
      <x:c r="B18" s="107" t="str">
        <x:v>Fri</x:v>
      </x:c>
      <x:c r="C18" s="108" t="n">
        <x:v>46054</x:v>
      </x:c>
      <x:c r="D18" s="109" t="n">
        <x:v>46055</x:v>
      </x:c>
      <x:c r="E18" s="110" t="n">
        <x:v>0</x:v>
      </x:c>
      <x:c r="F18" s="110" t="n">
        <x:v>5</x:v>
      </x:c>
      <x:c r="G18" s="110" t="n">
        <x:v>0</x:v>
      </x:c>
      <x:c r="H18" s="111" t="n">
        <x:f>E18+F18-G18</x:f>
        <x:v>5</x:v>
      </x:c>
      <x:c r="I18" s="111" t="n">
        <x:f>SUMIFS($H$6:H18,$D$6:D18,D18)-H18</x:f>
        <x:v>20</x:v>
      </x:c>
      <x:c r="J18" s="111" t="n">
        <x:f>MIN(H18,MAX(0,40-I18))</x:f>
        <x:v>5</x:v>
      </x:c>
      <x:c r="K18" s="111" t="n">
        <x:f>H18-J18</x:f>
        <x:v>0</x:v>
      </x:c>
      <x:c r="L18" s="112" t="n">
        <x:f>J18*Reconciliation!$B$10</x:f>
        <x:v>125</x:v>
      </x:c>
      <x:c r="M18" s="112" t="n">
        <x:f>K18*Reconciliation!$B$10*1.5</x:f>
        <x:v>0</x:v>
      </x:c>
      <x:c r="N18" s="112" t="n">
        <x:f>L18+M18</x:f>
        <x:v>125</x:v>
      </x:c>
      <x:c r="O18" s="113" t="str">
        <x:v>Hypothetical instruction assumed within 4–9 PM</x:v>
      </x:c>
    </x:row>
    <x:row r="19">
      <x:c r="A19" s="106" t="n">
        <x:v>46062</x:v>
      </x:c>
      <x:c r="B19" s="107" t="str">
        <x:v>Mon</x:v>
      </x:c>
      <x:c r="C19" s="108" t="n">
        <x:v>46054</x:v>
      </x:c>
      <x:c r="D19" s="109" t="n">
        <x:v>46062</x:v>
      </x:c>
      <x:c r="E19" s="110" t="n">
        <x:v>0</x:v>
      </x:c>
      <x:c r="F19" s="110" t="n">
        <x:v>5</x:v>
      </x:c>
      <x:c r="G19" s="110" t="n">
        <x:v>0</x:v>
      </x:c>
      <x:c r="H19" s="111" t="n">
        <x:f>E19+F19-G19</x:f>
        <x:v>5</x:v>
      </x:c>
      <x:c r="I19" s="111" t="n">
        <x:f>SUMIFS($H$6:H19,$D$6:D19,D19)-H19</x:f>
        <x:v>0</x:v>
      </x:c>
      <x:c r="J19" s="111" t="n">
        <x:f>MIN(H19,MAX(0,40-I19))</x:f>
        <x:v>5</x:v>
      </x:c>
      <x:c r="K19" s="111" t="n">
        <x:f>H19-J19</x:f>
        <x:v>0</x:v>
      </x:c>
      <x:c r="L19" s="112" t="n">
        <x:f>J19*Reconciliation!$B$10</x:f>
        <x:v>125</x:v>
      </x:c>
      <x:c r="M19" s="112" t="n">
        <x:f>K19*Reconciliation!$B$10*1.5</x:f>
        <x:v>0</x:v>
      </x:c>
      <x:c r="N19" s="112" t="n">
        <x:f>L19+M19</x:f>
        <x:v>125</x:v>
      </x:c>
      <x:c r="O19" s="113" t="str">
        <x:v>Hypothetical instruction assumed within 4–9 PM</x:v>
      </x:c>
    </x:row>
    <x:row r="20">
      <x:c r="A20" s="106" t="n">
        <x:v>46063</x:v>
      </x:c>
      <x:c r="B20" s="107" t="str">
        <x:v>Tue</x:v>
      </x:c>
      <x:c r="C20" s="108" t="n">
        <x:v>46054</x:v>
      </x:c>
      <x:c r="D20" s="109" t="n">
        <x:v>46062</x:v>
      </x:c>
      <x:c r="E20" s="110" t="n">
        <x:v>0</x:v>
      </x:c>
      <x:c r="F20" s="110" t="n">
        <x:v>5</x:v>
      </x:c>
      <x:c r="G20" s="110" t="n">
        <x:v>0</x:v>
      </x:c>
      <x:c r="H20" s="111" t="n">
        <x:f>E20+F20-G20</x:f>
        <x:v>5</x:v>
      </x:c>
      <x:c r="I20" s="111" t="n">
        <x:f>SUMIFS($H$6:H20,$D$6:D20,D20)-H20</x:f>
        <x:v>5</x:v>
      </x:c>
      <x:c r="J20" s="111" t="n">
        <x:f>MIN(H20,MAX(0,40-I20))</x:f>
        <x:v>5</x:v>
      </x:c>
      <x:c r="K20" s="111" t="n">
        <x:f>H20-J20</x:f>
        <x:v>0</x:v>
      </x:c>
      <x:c r="L20" s="112" t="n">
        <x:f>J20*Reconciliation!$B$10</x:f>
        <x:v>125</x:v>
      </x:c>
      <x:c r="M20" s="112" t="n">
        <x:f>K20*Reconciliation!$B$10*1.5</x:f>
        <x:v>0</x:v>
      </x:c>
      <x:c r="N20" s="112" t="n">
        <x:f>L20+M20</x:f>
        <x:v>125</x:v>
      </x:c>
      <x:c r="O20" s="113" t="str">
        <x:v>Hypothetical instruction assumed within 4–9 PM</x:v>
      </x:c>
    </x:row>
    <x:row r="21">
      <x:c r="A21" s="106" t="n">
        <x:v>46064</x:v>
      </x:c>
      <x:c r="B21" s="107" t="str">
        <x:v>Wed</x:v>
      </x:c>
      <x:c r="C21" s="108" t="n">
        <x:v>46054</x:v>
      </x:c>
      <x:c r="D21" s="109" t="n">
        <x:v>46062</x:v>
      </x:c>
      <x:c r="E21" s="110" t="n">
        <x:v>0</x:v>
      </x:c>
      <x:c r="F21" s="110" t="n">
        <x:v>5</x:v>
      </x:c>
      <x:c r="G21" s="110" t="n">
        <x:v>0</x:v>
      </x:c>
      <x:c r="H21" s="111" t="n">
        <x:f>E21+F21-G21</x:f>
        <x:v>5</x:v>
      </x:c>
      <x:c r="I21" s="111" t="n">
        <x:f>SUMIFS($H$6:H21,$D$6:D21,D21)-H21</x:f>
        <x:v>10</x:v>
      </x:c>
      <x:c r="J21" s="111" t="n">
        <x:f>MIN(H21,MAX(0,40-I21))</x:f>
        <x:v>5</x:v>
      </x:c>
      <x:c r="K21" s="111" t="n">
        <x:f>H21-J21</x:f>
        <x:v>0</x:v>
      </x:c>
      <x:c r="L21" s="112" t="n">
        <x:f>J21*Reconciliation!$B$10</x:f>
        <x:v>125</x:v>
      </x:c>
      <x:c r="M21" s="112" t="n">
        <x:f>K21*Reconciliation!$B$10*1.5</x:f>
        <x:v>0</x:v>
      </x:c>
      <x:c r="N21" s="112" t="n">
        <x:f>L21+M21</x:f>
        <x:v>125</x:v>
      </x:c>
      <x:c r="O21" s="113" t="str">
        <x:v>Hypothetical instruction assumed within 4–9 PM</x:v>
      </x:c>
    </x:row>
    <x:row r="22">
      <x:c r="A22" s="106" t="n">
        <x:v>46065</x:v>
      </x:c>
      <x:c r="B22" s="107" t="str">
        <x:v>Thu</x:v>
      </x:c>
      <x:c r="C22" s="108" t="n">
        <x:v>46054</x:v>
      </x:c>
      <x:c r="D22" s="109" t="n">
        <x:v>46062</x:v>
      </x:c>
      <x:c r="E22" s="110" t="n">
        <x:v>0</x:v>
      </x:c>
      <x:c r="F22" s="110" t="n">
        <x:v>5</x:v>
      </x:c>
      <x:c r="G22" s="110" t="n">
        <x:v>0</x:v>
      </x:c>
      <x:c r="H22" s="111" t="n">
        <x:f>E22+F22-G22</x:f>
        <x:v>5</x:v>
      </x:c>
      <x:c r="I22" s="111" t="n">
        <x:f>SUMIFS($H$6:H22,$D$6:D22,D22)-H22</x:f>
        <x:v>15</x:v>
      </x:c>
      <x:c r="J22" s="111" t="n">
        <x:f>MIN(H22,MAX(0,40-I22))</x:f>
        <x:v>5</x:v>
      </x:c>
      <x:c r="K22" s="111" t="n">
        <x:f>H22-J22</x:f>
        <x:v>0</x:v>
      </x:c>
      <x:c r="L22" s="112" t="n">
        <x:f>J22*Reconciliation!$B$10</x:f>
        <x:v>125</x:v>
      </x:c>
      <x:c r="M22" s="112" t="n">
        <x:f>K22*Reconciliation!$B$10*1.5</x:f>
        <x:v>0</x:v>
      </x:c>
      <x:c r="N22" s="112" t="n">
        <x:f>L22+M22</x:f>
        <x:v>125</x:v>
      </x:c>
      <x:c r="O22" s="113" t="str">
        <x:v>Hypothetical instruction assumed within 4–9 PM</x:v>
      </x:c>
    </x:row>
    <x:row r="23">
      <x:c r="A23" s="106" t="n">
        <x:v>46066</x:v>
      </x:c>
      <x:c r="B23" s="107" t="str">
        <x:v>Fri</x:v>
      </x:c>
      <x:c r="C23" s="108" t="n">
        <x:v>46054</x:v>
      </x:c>
      <x:c r="D23" s="109" t="n">
        <x:v>46062</x:v>
      </x:c>
      <x:c r="E23" s="110" t="n">
        <x:v>0</x:v>
      </x:c>
      <x:c r="F23" s="110" t="n">
        <x:v>5</x:v>
      </x:c>
      <x:c r="G23" s="110" t="n">
        <x:v>0</x:v>
      </x:c>
      <x:c r="H23" s="111" t="n">
        <x:f>E23+F23-G23</x:f>
        <x:v>5</x:v>
      </x:c>
      <x:c r="I23" s="111" t="n">
        <x:f>SUMIFS($H$6:H23,$D$6:D23,D23)-H23</x:f>
        <x:v>20</x:v>
      </x:c>
      <x:c r="J23" s="111" t="n">
        <x:f>MIN(H23,MAX(0,40-I23))</x:f>
        <x:v>5</x:v>
      </x:c>
      <x:c r="K23" s="111" t="n">
        <x:f>H23-J23</x:f>
        <x:v>0</x:v>
      </x:c>
      <x:c r="L23" s="112" t="n">
        <x:f>J23*Reconciliation!$B$10</x:f>
        <x:v>125</x:v>
      </x:c>
      <x:c r="M23" s="112" t="n">
        <x:f>K23*Reconciliation!$B$10*1.5</x:f>
        <x:v>0</x:v>
      </x:c>
      <x:c r="N23" s="112" t="n">
        <x:f>L23+M23</x:f>
        <x:v>125</x:v>
      </x:c>
      <x:c r="O23" s="113" t="str">
        <x:v>Hypothetical instruction assumed within 4–9 PM</x:v>
      </x:c>
    </x:row>
    <x:row r="24">
      <x:c r="A24" s="106" t="n">
        <x:v>46069</x:v>
      </x:c>
      <x:c r="B24" s="107" t="str">
        <x:v>Mon</x:v>
      </x:c>
      <x:c r="C24" s="108" t="n">
        <x:v>46054</x:v>
      </x:c>
      <x:c r="D24" s="109" t="n">
        <x:v>46069</x:v>
      </x:c>
      <x:c r="E24" s="110" t="n">
        <x:v>0</x:v>
      </x:c>
      <x:c r="F24" s="110" t="n">
        <x:v>5</x:v>
      </x:c>
      <x:c r="G24" s="110" t="n">
        <x:v>0</x:v>
      </x:c>
      <x:c r="H24" s="111" t="n">
        <x:f>E24+F24-G24</x:f>
        <x:v>5</x:v>
      </x:c>
      <x:c r="I24" s="111" t="n">
        <x:f>SUMIFS($H$6:H24,$D$6:D24,D24)-H24</x:f>
        <x:v>0</x:v>
      </x:c>
      <x:c r="J24" s="111" t="n">
        <x:f>MIN(H24,MAX(0,40-I24))</x:f>
        <x:v>5</x:v>
      </x:c>
      <x:c r="K24" s="111" t="n">
        <x:f>H24-J24</x:f>
        <x:v>0</x:v>
      </x:c>
      <x:c r="L24" s="112" t="n">
        <x:f>J24*Reconciliation!$B$10</x:f>
        <x:v>125</x:v>
      </x:c>
      <x:c r="M24" s="112" t="n">
        <x:f>K24*Reconciliation!$B$10*1.5</x:f>
        <x:v>0</x:v>
      </x:c>
      <x:c r="N24" s="112" t="n">
        <x:f>L24+M24</x:f>
        <x:v>125</x:v>
      </x:c>
      <x:c r="O24" s="113" t="str">
        <x:v>Hypothetical instruction assumed within 4–9 PM</x:v>
      </x:c>
    </x:row>
    <x:row r="25">
      <x:c r="A25" s="106" t="n">
        <x:v>46070</x:v>
      </x:c>
      <x:c r="B25" s="107" t="str">
        <x:v>Tue</x:v>
      </x:c>
      <x:c r="C25" s="108" t="n">
        <x:v>46054</x:v>
      </x:c>
      <x:c r="D25" s="109" t="n">
        <x:v>46069</x:v>
      </x:c>
      <x:c r="E25" s="110" t="n">
        <x:v>0</x:v>
      </x:c>
      <x:c r="F25" s="110" t="n">
        <x:v>5</x:v>
      </x:c>
      <x:c r="G25" s="110" t="n">
        <x:v>0</x:v>
      </x:c>
      <x:c r="H25" s="111" t="n">
        <x:f>E25+F25-G25</x:f>
        <x:v>5</x:v>
      </x:c>
      <x:c r="I25" s="111" t="n">
        <x:f>SUMIFS($H$6:H25,$D$6:D25,D25)-H25</x:f>
        <x:v>5</x:v>
      </x:c>
      <x:c r="J25" s="111" t="n">
        <x:f>MIN(H25,MAX(0,40-I25))</x:f>
        <x:v>5</x:v>
      </x:c>
      <x:c r="K25" s="111" t="n">
        <x:f>H25-J25</x:f>
        <x:v>0</x:v>
      </x:c>
      <x:c r="L25" s="112" t="n">
        <x:f>J25*Reconciliation!$B$10</x:f>
        <x:v>125</x:v>
      </x:c>
      <x:c r="M25" s="112" t="n">
        <x:f>K25*Reconciliation!$B$10*1.5</x:f>
        <x:v>0</x:v>
      </x:c>
      <x:c r="N25" s="112" t="n">
        <x:f>L25+M25</x:f>
        <x:v>125</x:v>
      </x:c>
      <x:c r="O25" s="113" t="str">
        <x:v>Hypothetical instruction assumed within 4–9 PM</x:v>
      </x:c>
    </x:row>
    <x:row r="26">
      <x:c r="A26" s="106" t="n">
        <x:v>46071</x:v>
      </x:c>
      <x:c r="B26" s="107" t="str">
        <x:v>Wed</x:v>
      </x:c>
      <x:c r="C26" s="108" t="n">
        <x:v>46054</x:v>
      </x:c>
      <x:c r="D26" s="109" t="n">
        <x:v>46069</x:v>
      </x:c>
      <x:c r="E26" s="110" t="n">
        <x:v>0</x:v>
      </x:c>
      <x:c r="F26" s="110" t="n">
        <x:v>5</x:v>
      </x:c>
      <x:c r="G26" s="110" t="n">
        <x:v>0</x:v>
      </x:c>
      <x:c r="H26" s="111" t="n">
        <x:f>E26+F26-G26</x:f>
        <x:v>5</x:v>
      </x:c>
      <x:c r="I26" s="111" t="n">
        <x:f>SUMIFS($H$6:H26,$D$6:D26,D26)-H26</x:f>
        <x:v>10</x:v>
      </x:c>
      <x:c r="J26" s="111" t="n">
        <x:f>MIN(H26,MAX(0,40-I26))</x:f>
        <x:v>5</x:v>
      </x:c>
      <x:c r="K26" s="111" t="n">
        <x:f>H26-J26</x:f>
        <x:v>0</x:v>
      </x:c>
      <x:c r="L26" s="112" t="n">
        <x:f>J26*Reconciliation!$B$10</x:f>
        <x:v>125</x:v>
      </x:c>
      <x:c r="M26" s="112" t="n">
        <x:f>K26*Reconciliation!$B$10*1.5</x:f>
        <x:v>0</x:v>
      </x:c>
      <x:c r="N26" s="112" t="n">
        <x:f>L26+M26</x:f>
        <x:v>125</x:v>
      </x:c>
      <x:c r="O26" s="113" t="str">
        <x:v>Hypothetical instruction assumed within 4–9 PM</x:v>
      </x:c>
    </x:row>
    <x:row r="27">
      <x:c r="A27" s="106" t="n">
        <x:v>46072</x:v>
      </x:c>
      <x:c r="B27" s="107" t="str">
        <x:v>Thu</x:v>
      </x:c>
      <x:c r="C27" s="108" t="n">
        <x:v>46054</x:v>
      </x:c>
      <x:c r="D27" s="109" t="n">
        <x:v>46069</x:v>
      </x:c>
      <x:c r="E27" s="110" t="n">
        <x:v>0</x:v>
      </x:c>
      <x:c r="F27" s="110" t="n">
        <x:v>5</x:v>
      </x:c>
      <x:c r="G27" s="110" t="n">
        <x:v>0</x:v>
      </x:c>
      <x:c r="H27" s="111" t="n">
        <x:f>E27+F27-G27</x:f>
        <x:v>5</x:v>
      </x:c>
      <x:c r="I27" s="111" t="n">
        <x:f>SUMIFS($H$6:H27,$D$6:D27,D27)-H27</x:f>
        <x:v>15</x:v>
      </x:c>
      <x:c r="J27" s="111" t="n">
        <x:f>MIN(H27,MAX(0,40-I27))</x:f>
        <x:v>5</x:v>
      </x:c>
      <x:c r="K27" s="111" t="n">
        <x:f>H27-J27</x:f>
        <x:v>0</x:v>
      </x:c>
      <x:c r="L27" s="112" t="n">
        <x:f>J27*Reconciliation!$B$10</x:f>
        <x:v>125</x:v>
      </x:c>
      <x:c r="M27" s="112" t="n">
        <x:f>K27*Reconciliation!$B$10*1.5</x:f>
        <x:v>0</x:v>
      </x:c>
      <x:c r="N27" s="112" t="n">
        <x:f>L27+M27</x:f>
        <x:v>125</x:v>
      </x:c>
      <x:c r="O27" s="113" t="str">
        <x:v>Hypothetical instruction assumed within 4–9 PM</x:v>
      </x:c>
    </x:row>
    <x:row r="28">
      <x:c r="A28" s="106" t="n">
        <x:v>46073</x:v>
      </x:c>
      <x:c r="B28" s="107" t="str">
        <x:v>Fri</x:v>
      </x:c>
      <x:c r="C28" s="108" t="n">
        <x:v>46054</x:v>
      </x:c>
      <x:c r="D28" s="109" t="n">
        <x:v>46069</x:v>
      </x:c>
      <x:c r="E28" s="110" t="n">
        <x:v>0</x:v>
      </x:c>
      <x:c r="F28" s="110" t="n">
        <x:v>5</x:v>
      </x:c>
      <x:c r="G28" s="110" t="n">
        <x:v>0</x:v>
      </x:c>
      <x:c r="H28" s="111" t="n">
        <x:f>E28+F28-G28</x:f>
        <x:v>5</x:v>
      </x:c>
      <x:c r="I28" s="111" t="n">
        <x:f>SUMIFS($H$6:H28,$D$6:D28,D28)-H28</x:f>
        <x:v>20</x:v>
      </x:c>
      <x:c r="J28" s="111" t="n">
        <x:f>MIN(H28,MAX(0,40-I28))</x:f>
        <x:v>5</x:v>
      </x:c>
      <x:c r="K28" s="111" t="n">
        <x:f>H28-J28</x:f>
        <x:v>0</x:v>
      </x:c>
      <x:c r="L28" s="112" t="n">
        <x:f>J28*Reconciliation!$B$10</x:f>
        <x:v>125</x:v>
      </x:c>
      <x:c r="M28" s="112" t="n">
        <x:f>K28*Reconciliation!$B$10*1.5</x:f>
        <x:v>0</x:v>
      </x:c>
      <x:c r="N28" s="112" t="n">
        <x:f>L28+M28</x:f>
        <x:v>125</x:v>
      </x:c>
      <x:c r="O28" s="113" t="str">
        <x:v>Hypothetical instruction assumed within 4–9 PM</x:v>
      </x:c>
    </x:row>
    <x:row r="29">
      <x:c r="A29" s="106" t="n">
        <x:v>46076</x:v>
      </x:c>
      <x:c r="B29" s="107" t="str">
        <x:v>Mon</x:v>
      </x:c>
      <x:c r="C29" s="108" t="n">
        <x:v>46054</x:v>
      </x:c>
      <x:c r="D29" s="109" t="n">
        <x:v>46076</x:v>
      </x:c>
      <x:c r="E29" s="110" t="n">
        <x:v>0</x:v>
      </x:c>
      <x:c r="F29" s="110" t="n">
        <x:v>5</x:v>
      </x:c>
      <x:c r="G29" s="110" t="n">
        <x:v>0</x:v>
      </x:c>
      <x:c r="H29" s="111" t="n">
        <x:f>E29+F29-G29</x:f>
        <x:v>5</x:v>
      </x:c>
      <x:c r="I29" s="111" t="n">
        <x:f>SUMIFS($H$6:H29,$D$6:D29,D29)-H29</x:f>
        <x:v>0</x:v>
      </x:c>
      <x:c r="J29" s="111" t="n">
        <x:f>MIN(H29,MAX(0,40-I29))</x:f>
        <x:v>5</x:v>
      </x:c>
      <x:c r="K29" s="111" t="n">
        <x:f>H29-J29</x:f>
        <x:v>0</x:v>
      </x:c>
      <x:c r="L29" s="112" t="n">
        <x:f>J29*Reconciliation!$B$10</x:f>
        <x:v>125</x:v>
      </x:c>
      <x:c r="M29" s="112" t="n">
        <x:f>K29*Reconciliation!$B$10*1.5</x:f>
        <x:v>0</x:v>
      </x:c>
      <x:c r="N29" s="112" t="n">
        <x:f>L29+M29</x:f>
        <x:v>125</x:v>
      </x:c>
      <x:c r="O29" s="113" t="str">
        <x:v>Hypothetical instruction assumed within 4–9 PM</x:v>
      </x:c>
    </x:row>
    <x:row r="30">
      <x:c r="A30" s="106" t="n">
        <x:v>46083</x:v>
      </x:c>
      <x:c r="B30" s="107" t="str">
        <x:v>Mon</x:v>
      </x:c>
      <x:c r="C30" s="108" t="n">
        <x:v>46082</x:v>
      </x:c>
      <x:c r="D30" s="109" t="n">
        <x:v>46083</x:v>
      </x:c>
      <x:c r="E30" s="110" t="n">
        <x:v>0.5</x:v>
      </x:c>
      <x:c r="F30" s="110" t="n">
        <x:v>5</x:v>
      </x:c>
      <x:c r="G30" s="110" t="n">
        <x:v>0</x:v>
      </x:c>
      <x:c r="H30" s="111" t="n">
        <x:f>E30+F30-G30</x:f>
        <x:v>5.5</x:v>
      </x:c>
      <x:c r="I30" s="111" t="n">
        <x:f>SUMIFS($H$6:H30,$D$6:D30,D30)-H30</x:f>
        <x:v>0</x:v>
      </x:c>
      <x:c r="J30" s="111" t="n">
        <x:f>MIN(H30,MAX(0,40-I30))</x:f>
        <x:v>5.5</x:v>
      </x:c>
      <x:c r="K30" s="111" t="n">
        <x:f>H30-J30</x:f>
        <x:v>0</x:v>
      </x:c>
      <x:c r="L30" s="112" t="n">
        <x:f>J30*Reconciliation!$B$10</x:f>
        <x:v>137.5</x:v>
      </x:c>
      <x:c r="M30" s="112" t="n">
        <x:f>K30*Reconciliation!$B$10*1.5</x:f>
        <x:v>0</x:v>
      </x:c>
      <x:c r="N30" s="112" t="n">
        <x:f>L30+M30</x:f>
        <x:v>137.5</x:v>
      </x:c>
      <x:c r="O30" s="113" t="str">
        <x:v>Hypothetical planning/setup before 4 PM; instruction assumed 4–9 PM</x:v>
      </x:c>
    </x:row>
    <x:row r="31">
      <x:c r="A31" s="106" t="n">
        <x:v>46084</x:v>
      </x:c>
      <x:c r="B31" s="107" t="str">
        <x:v>Tue</x:v>
      </x:c>
      <x:c r="C31" s="108" t="n">
        <x:v>46082</x:v>
      </x:c>
      <x:c r="D31" s="109" t="n">
        <x:v>46083</x:v>
      </x:c>
      <x:c r="E31" s="110" t="n">
        <x:v>0.5</x:v>
      </x:c>
      <x:c r="F31" s="110" t="n">
        <x:v>5</x:v>
      </x:c>
      <x:c r="G31" s="110" t="n">
        <x:v>0</x:v>
      </x:c>
      <x:c r="H31" s="111" t="n">
        <x:f>E31+F31-G31</x:f>
        <x:v>5.5</x:v>
      </x:c>
      <x:c r="I31" s="111" t="n">
        <x:f>SUMIFS($H$6:H31,$D$6:D31,D31)-H31</x:f>
        <x:v>5.5</x:v>
      </x:c>
      <x:c r="J31" s="111" t="n">
        <x:f>MIN(H31,MAX(0,40-I31))</x:f>
        <x:v>5.5</x:v>
      </x:c>
      <x:c r="K31" s="111" t="n">
        <x:f>H31-J31</x:f>
        <x:v>0</x:v>
      </x:c>
      <x:c r="L31" s="112" t="n">
        <x:f>J31*Reconciliation!$B$10</x:f>
        <x:v>137.5</x:v>
      </x:c>
      <x:c r="M31" s="112" t="n">
        <x:f>K31*Reconciliation!$B$10*1.5</x:f>
        <x:v>0</x:v>
      </x:c>
      <x:c r="N31" s="112" t="n">
        <x:f>L31+M31</x:f>
        <x:v>137.5</x:v>
      </x:c>
      <x:c r="O31" s="113" t="str">
        <x:v>Hypothetical planning/setup before 4 PM; instruction assumed 4–9 PM</x:v>
      </x:c>
    </x:row>
    <x:row r="32">
      <x:c r="A32" s="106" t="n">
        <x:v>46085</x:v>
      </x:c>
      <x:c r="B32" s="107" t="str">
        <x:v>Wed</x:v>
      </x:c>
      <x:c r="C32" s="108" t="n">
        <x:v>46082</x:v>
      </x:c>
      <x:c r="D32" s="109" t="n">
        <x:v>46083</x:v>
      </x:c>
      <x:c r="E32" s="110" t="n">
        <x:v>0.5</x:v>
      </x:c>
      <x:c r="F32" s="110" t="n">
        <x:v>5</x:v>
      </x:c>
      <x:c r="G32" s="110" t="n">
        <x:v>0</x:v>
      </x:c>
      <x:c r="H32" s="111" t="n">
        <x:f>E32+F32-G32</x:f>
        <x:v>5.5</x:v>
      </x:c>
      <x:c r="I32" s="111" t="n">
        <x:f>SUMIFS($H$6:H32,$D$6:D32,D32)-H32</x:f>
        <x:v>11</x:v>
      </x:c>
      <x:c r="J32" s="111" t="n">
        <x:f>MIN(H32,MAX(0,40-I32))</x:f>
        <x:v>5.5</x:v>
      </x:c>
      <x:c r="K32" s="111" t="n">
        <x:f>H32-J32</x:f>
        <x:v>0</x:v>
      </x:c>
      <x:c r="L32" s="112" t="n">
        <x:f>J32*Reconciliation!$B$10</x:f>
        <x:v>137.5</x:v>
      </x:c>
      <x:c r="M32" s="112" t="n">
        <x:f>K32*Reconciliation!$B$10*1.5</x:f>
        <x:v>0</x:v>
      </x:c>
      <x:c r="N32" s="112" t="n">
        <x:f>L32+M32</x:f>
        <x:v>137.5</x:v>
      </x:c>
      <x:c r="O32" s="113" t="str">
        <x:v>Hypothetical planning/setup before 4 PM; instruction assumed 4–9 PM</x:v>
      </x:c>
    </x:row>
    <x:row r="33">
      <x:c r="A33" s="106" t="n">
        <x:v>46086</x:v>
      </x:c>
      <x:c r="B33" s="107" t="str">
        <x:v>Thu</x:v>
      </x:c>
      <x:c r="C33" s="108" t="n">
        <x:v>46082</x:v>
      </x:c>
      <x:c r="D33" s="109" t="n">
        <x:v>46083</x:v>
      </x:c>
      <x:c r="E33" s="110" t="n">
        <x:v>0.5</x:v>
      </x:c>
      <x:c r="F33" s="110" t="n">
        <x:v>5</x:v>
      </x:c>
      <x:c r="G33" s="110" t="n">
        <x:v>0</x:v>
      </x:c>
      <x:c r="H33" s="111" t="n">
        <x:f>E33+F33-G33</x:f>
        <x:v>5.5</x:v>
      </x:c>
      <x:c r="I33" s="111" t="n">
        <x:f>SUMIFS($H$6:H33,$D$6:D33,D33)-H33</x:f>
        <x:v>16.5</x:v>
      </x:c>
      <x:c r="J33" s="111" t="n">
        <x:f>MIN(H33,MAX(0,40-I33))</x:f>
        <x:v>5.5</x:v>
      </x:c>
      <x:c r="K33" s="111" t="n">
        <x:f>H33-J33</x:f>
        <x:v>0</x:v>
      </x:c>
      <x:c r="L33" s="112" t="n">
        <x:f>J33*Reconciliation!$B$10</x:f>
        <x:v>137.5</x:v>
      </x:c>
      <x:c r="M33" s="112" t="n">
        <x:f>K33*Reconciliation!$B$10*1.5</x:f>
        <x:v>0</x:v>
      </x:c>
      <x:c r="N33" s="112" t="n">
        <x:f>L33+M33</x:f>
        <x:v>137.5</x:v>
      </x:c>
      <x:c r="O33" s="113" t="str">
        <x:v>Hypothetical planning/setup before 4 PM; instruction assumed 4–9 PM</x:v>
      </x:c>
    </x:row>
    <x:row r="34">
      <x:c r="A34" s="106" t="n">
        <x:v>46087</x:v>
      </x:c>
      <x:c r="B34" s="107" t="str">
        <x:v>Fri</x:v>
      </x:c>
      <x:c r="C34" s="108" t="n">
        <x:v>46082</x:v>
      </x:c>
      <x:c r="D34" s="109" t="n">
        <x:v>46083</x:v>
      </x:c>
      <x:c r="E34" s="110" t="n">
        <x:v>0.5</x:v>
      </x:c>
      <x:c r="F34" s="110" t="n">
        <x:v>5</x:v>
      </x:c>
      <x:c r="G34" s="110" t="n">
        <x:v>0</x:v>
      </x:c>
      <x:c r="H34" s="111" t="n">
        <x:f>E34+F34-G34</x:f>
        <x:v>5.5</x:v>
      </x:c>
      <x:c r="I34" s="111" t="n">
        <x:f>SUMIFS($H$6:H34,$D$6:D34,D34)-H34</x:f>
        <x:v>22</x:v>
      </x:c>
      <x:c r="J34" s="111" t="n">
        <x:f>MIN(H34,MAX(0,40-I34))</x:f>
        <x:v>5.5</x:v>
      </x:c>
      <x:c r="K34" s="111" t="n">
        <x:f>H34-J34</x:f>
        <x:v>0</x:v>
      </x:c>
      <x:c r="L34" s="112" t="n">
        <x:f>J34*Reconciliation!$B$10</x:f>
        <x:v>137.5</x:v>
      </x:c>
      <x:c r="M34" s="112" t="n">
        <x:f>K34*Reconciliation!$B$10*1.5</x:f>
        <x:v>0</x:v>
      </x:c>
      <x:c r="N34" s="112" t="n">
        <x:f>L34+M34</x:f>
        <x:v>137.5</x:v>
      </x:c>
      <x:c r="O34" s="113" t="str">
        <x:v>Hypothetical planning/setup before 4 PM; instruction assumed 4–9 PM</x:v>
      </x:c>
    </x:row>
    <x:row r="35">
      <x:c r="A35" s="106" t="n">
        <x:v>46090</x:v>
      </x:c>
      <x:c r="B35" s="107" t="str">
        <x:v>Mon</x:v>
      </x:c>
      <x:c r="C35" s="108" t="n">
        <x:v>46082</x:v>
      </x:c>
      <x:c r="D35" s="109" t="n">
        <x:v>46090</x:v>
      </x:c>
      <x:c r="E35" s="110" t="n">
        <x:v>0.5</x:v>
      </x:c>
      <x:c r="F35" s="110" t="n">
        <x:v>5</x:v>
      </x:c>
      <x:c r="G35" s="110" t="n">
        <x:v>0</x:v>
      </x:c>
      <x:c r="H35" s="111" t="n">
        <x:f>E35+F35-G35</x:f>
        <x:v>5.5</x:v>
      </x:c>
      <x:c r="I35" s="111" t="n">
        <x:f>SUMIFS($H$6:H35,$D$6:D35,D35)-H35</x:f>
        <x:v>0</x:v>
      </x:c>
      <x:c r="J35" s="111" t="n">
        <x:f>MIN(H35,MAX(0,40-I35))</x:f>
        <x:v>5.5</x:v>
      </x:c>
      <x:c r="K35" s="111" t="n">
        <x:f>H35-J35</x:f>
        <x:v>0</x:v>
      </x:c>
      <x:c r="L35" s="112" t="n">
        <x:f>J35*Reconciliation!$B$10</x:f>
        <x:v>137.5</x:v>
      </x:c>
      <x:c r="M35" s="112" t="n">
        <x:f>K35*Reconciliation!$B$10*1.5</x:f>
        <x:v>0</x:v>
      </x:c>
      <x:c r="N35" s="112" t="n">
        <x:f>L35+M35</x:f>
        <x:v>137.5</x:v>
      </x:c>
      <x:c r="O35" s="113" t="str">
        <x:v>Hypothetical planning/setup before 4 PM; instruction assumed 4–9 PM</x:v>
      </x:c>
    </x:row>
    <x:row r="36">
      <x:c r="A36" s="106" t="n">
        <x:v>46091</x:v>
      </x:c>
      <x:c r="B36" s="107" t="str">
        <x:v>Tue</x:v>
      </x:c>
      <x:c r="C36" s="108" t="n">
        <x:v>46082</x:v>
      </x:c>
      <x:c r="D36" s="109" t="n">
        <x:v>46090</x:v>
      </x:c>
      <x:c r="E36" s="110" t="n">
        <x:v>0.5</x:v>
      </x:c>
      <x:c r="F36" s="110" t="n">
        <x:v>5</x:v>
      </x:c>
      <x:c r="G36" s="110" t="n">
        <x:v>0</x:v>
      </x:c>
      <x:c r="H36" s="111" t="n">
        <x:f>E36+F36-G36</x:f>
        <x:v>5.5</x:v>
      </x:c>
      <x:c r="I36" s="111" t="n">
        <x:f>SUMIFS($H$6:H36,$D$6:D36,D36)-H36</x:f>
        <x:v>5.5</x:v>
      </x:c>
      <x:c r="J36" s="111" t="n">
        <x:f>MIN(H36,MAX(0,40-I36))</x:f>
        <x:v>5.5</x:v>
      </x:c>
      <x:c r="K36" s="111" t="n">
        <x:f>H36-J36</x:f>
        <x:v>0</x:v>
      </x:c>
      <x:c r="L36" s="112" t="n">
        <x:f>J36*Reconciliation!$B$10</x:f>
        <x:v>137.5</x:v>
      </x:c>
      <x:c r="M36" s="112" t="n">
        <x:f>K36*Reconciliation!$B$10*1.5</x:f>
        <x:v>0</x:v>
      </x:c>
      <x:c r="N36" s="112" t="n">
        <x:f>L36+M36</x:f>
        <x:v>137.5</x:v>
      </x:c>
      <x:c r="O36" s="113" t="str">
        <x:v>Hypothetical planning/setup before 4 PM; instruction assumed 4–9 PM</x:v>
      </x:c>
    </x:row>
    <x:row r="37">
      <x:c r="A37" s="106" t="n">
        <x:v>46092</x:v>
      </x:c>
      <x:c r="B37" s="107" t="str">
        <x:v>Wed</x:v>
      </x:c>
      <x:c r="C37" s="108" t="n">
        <x:v>46082</x:v>
      </x:c>
      <x:c r="D37" s="109" t="n">
        <x:v>46090</x:v>
      </x:c>
      <x:c r="E37" s="110" t="n">
        <x:v>0.5</x:v>
      </x:c>
      <x:c r="F37" s="110" t="n">
        <x:v>5</x:v>
      </x:c>
      <x:c r="G37" s="110" t="n">
        <x:v>0</x:v>
      </x:c>
      <x:c r="H37" s="111" t="n">
        <x:f>E37+F37-G37</x:f>
        <x:v>5.5</x:v>
      </x:c>
      <x:c r="I37" s="111" t="n">
        <x:f>SUMIFS($H$6:H37,$D$6:D37,D37)-H37</x:f>
        <x:v>11</x:v>
      </x:c>
      <x:c r="J37" s="111" t="n">
        <x:f>MIN(H37,MAX(0,40-I37))</x:f>
        <x:v>5.5</x:v>
      </x:c>
      <x:c r="K37" s="111" t="n">
        <x:f>H37-J37</x:f>
        <x:v>0</x:v>
      </x:c>
      <x:c r="L37" s="112" t="n">
        <x:f>J37*Reconciliation!$B$10</x:f>
        <x:v>137.5</x:v>
      </x:c>
      <x:c r="M37" s="112" t="n">
        <x:f>K37*Reconciliation!$B$10*1.5</x:f>
        <x:v>0</x:v>
      </x:c>
      <x:c r="N37" s="112" t="n">
        <x:f>L37+M37</x:f>
        <x:v>137.5</x:v>
      </x:c>
      <x:c r="O37" s="113" t="str">
        <x:v>Hypothetical planning/setup before 4 PM; instruction assumed 4–9 PM</x:v>
      </x:c>
    </x:row>
    <x:row r="38">
      <x:c r="A38" s="106" t="n">
        <x:v>46093</x:v>
      </x:c>
      <x:c r="B38" s="107" t="str">
        <x:v>Thu</x:v>
      </x:c>
      <x:c r="C38" s="108" t="n">
        <x:v>46082</x:v>
      </x:c>
      <x:c r="D38" s="109" t="n">
        <x:v>46090</x:v>
      </x:c>
      <x:c r="E38" s="110" t="n">
        <x:v>0.5</x:v>
      </x:c>
      <x:c r="F38" s="110" t="n">
        <x:v>5</x:v>
      </x:c>
      <x:c r="G38" s="110" t="n">
        <x:v>0</x:v>
      </x:c>
      <x:c r="H38" s="111" t="n">
        <x:f>E38+F38-G38</x:f>
        <x:v>5.5</x:v>
      </x:c>
      <x:c r="I38" s="111" t="n">
        <x:f>SUMIFS($H$6:H38,$D$6:D38,D38)-H38</x:f>
        <x:v>16.5</x:v>
      </x:c>
      <x:c r="J38" s="111" t="n">
        <x:f>MIN(H38,MAX(0,40-I38))</x:f>
        <x:v>5.5</x:v>
      </x:c>
      <x:c r="K38" s="111" t="n">
        <x:f>H38-J38</x:f>
        <x:v>0</x:v>
      </x:c>
      <x:c r="L38" s="112" t="n">
        <x:f>J38*Reconciliation!$B$10</x:f>
        <x:v>137.5</x:v>
      </x:c>
      <x:c r="M38" s="112" t="n">
        <x:f>K38*Reconciliation!$B$10*1.5</x:f>
        <x:v>0</x:v>
      </x:c>
      <x:c r="N38" s="112" t="n">
        <x:f>L38+M38</x:f>
        <x:v>137.5</x:v>
      </x:c>
      <x:c r="O38" s="113" t="str">
        <x:v>Hypothetical planning/setup before 4 PM; instruction assumed 4–9 PM</x:v>
      </x:c>
    </x:row>
    <x:row r="39">
      <x:c r="A39" s="106" t="n">
        <x:v>46094</x:v>
      </x:c>
      <x:c r="B39" s="107" t="str">
        <x:v>Fri</x:v>
      </x:c>
      <x:c r="C39" s="108" t="n">
        <x:v>46082</x:v>
      </x:c>
      <x:c r="D39" s="109" t="n">
        <x:v>46090</x:v>
      </x:c>
      <x:c r="E39" s="110" t="n">
        <x:v>0.5</x:v>
      </x:c>
      <x:c r="F39" s="110" t="n">
        <x:v>5</x:v>
      </x:c>
      <x:c r="G39" s="110" t="n">
        <x:v>0</x:v>
      </x:c>
      <x:c r="H39" s="111" t="n">
        <x:f>E39+F39-G39</x:f>
        <x:v>5.5</x:v>
      </x:c>
      <x:c r="I39" s="111" t="n">
        <x:f>SUMIFS($H$6:H39,$D$6:D39,D39)-H39</x:f>
        <x:v>22</x:v>
      </x:c>
      <x:c r="J39" s="111" t="n">
        <x:f>MIN(H39,MAX(0,40-I39))</x:f>
        <x:v>5.5</x:v>
      </x:c>
      <x:c r="K39" s="111" t="n">
        <x:f>H39-J39</x:f>
        <x:v>0</x:v>
      </x:c>
      <x:c r="L39" s="112" t="n">
        <x:f>J39*Reconciliation!$B$10</x:f>
        <x:v>137.5</x:v>
      </x:c>
      <x:c r="M39" s="112" t="n">
        <x:f>K39*Reconciliation!$B$10*1.5</x:f>
        <x:v>0</x:v>
      </x:c>
      <x:c r="N39" s="112" t="n">
        <x:f>L39+M39</x:f>
        <x:v>137.5</x:v>
      </x:c>
      <x:c r="O39" s="113" t="str">
        <x:v>Hypothetical planning/setup before 4 PM; instruction assumed 4–9 PM</x:v>
      </x:c>
    </x:row>
    <x:row r="40">
      <x:c r="A40" s="106" t="n">
        <x:v>46097</x:v>
      </x:c>
      <x:c r="B40" s="107" t="str">
        <x:v>Mon</x:v>
      </x:c>
      <x:c r="C40" s="108" t="n">
        <x:v>46082</x:v>
      </x:c>
      <x:c r="D40" s="109" t="n">
        <x:v>46097</x:v>
      </x:c>
      <x:c r="E40" s="110" t="n">
        <x:v>0.5</x:v>
      </x:c>
      <x:c r="F40" s="110" t="n">
        <x:v>5</x:v>
      </x:c>
      <x:c r="G40" s="110" t="n">
        <x:v>0</x:v>
      </x:c>
      <x:c r="H40" s="111" t="n">
        <x:f>E40+F40-G40</x:f>
        <x:v>5.5</x:v>
      </x:c>
      <x:c r="I40" s="111" t="n">
        <x:f>SUMIFS($H$6:H40,$D$6:D40,D40)-H40</x:f>
        <x:v>0</x:v>
      </x:c>
      <x:c r="J40" s="111" t="n">
        <x:f>MIN(H40,MAX(0,40-I40))</x:f>
        <x:v>5.5</x:v>
      </x:c>
      <x:c r="K40" s="111" t="n">
        <x:f>H40-J40</x:f>
        <x:v>0</x:v>
      </x:c>
      <x:c r="L40" s="112" t="n">
        <x:f>J40*Reconciliation!$B$10</x:f>
        <x:v>137.5</x:v>
      </x:c>
      <x:c r="M40" s="112" t="n">
        <x:f>K40*Reconciliation!$B$10*1.5</x:f>
        <x:v>0</x:v>
      </x:c>
      <x:c r="N40" s="112" t="n">
        <x:f>L40+M40</x:f>
        <x:v>137.5</x:v>
      </x:c>
      <x:c r="O40" s="113" t="str">
        <x:v>Hypothetical planning/setup before 4 PM; instruction assumed 4–9 PM</x:v>
      </x:c>
    </x:row>
    <x:row r="41">
      <x:c r="A41" s="106" t="n">
        <x:v>46098</x:v>
      </x:c>
      <x:c r="B41" s="107" t="str">
        <x:v>Tue</x:v>
      </x:c>
      <x:c r="C41" s="108" t="n">
        <x:v>46082</x:v>
      </x:c>
      <x:c r="D41" s="109" t="n">
        <x:v>46097</x:v>
      </x:c>
      <x:c r="E41" s="110" t="n">
        <x:v>0.5</x:v>
      </x:c>
      <x:c r="F41" s="110" t="n">
        <x:v>5</x:v>
      </x:c>
      <x:c r="G41" s="110" t="n">
        <x:v>0</x:v>
      </x:c>
      <x:c r="H41" s="111" t="n">
        <x:f>E41+F41-G41</x:f>
        <x:v>5.5</x:v>
      </x:c>
      <x:c r="I41" s="111" t="n">
        <x:f>SUMIFS($H$6:H41,$D$6:D41,D41)-H41</x:f>
        <x:v>5.5</x:v>
      </x:c>
      <x:c r="J41" s="111" t="n">
        <x:f>MIN(H41,MAX(0,40-I41))</x:f>
        <x:v>5.5</x:v>
      </x:c>
      <x:c r="K41" s="111" t="n">
        <x:f>H41-J41</x:f>
        <x:v>0</x:v>
      </x:c>
      <x:c r="L41" s="112" t="n">
        <x:f>J41*Reconciliation!$B$10</x:f>
        <x:v>137.5</x:v>
      </x:c>
      <x:c r="M41" s="112" t="n">
        <x:f>K41*Reconciliation!$B$10*1.5</x:f>
        <x:v>0</x:v>
      </x:c>
      <x:c r="N41" s="112" t="n">
        <x:f>L41+M41</x:f>
        <x:v>137.5</x:v>
      </x:c>
      <x:c r="O41" s="113" t="str">
        <x:v>Hypothetical planning/setup before 4 PM; instruction assumed 4–9 PM</x:v>
      </x:c>
    </x:row>
    <x:row r="42">
      <x:c r="A42" s="106" t="n">
        <x:v>46099</x:v>
      </x:c>
      <x:c r="B42" s="107" t="str">
        <x:v>Wed</x:v>
      </x:c>
      <x:c r="C42" s="108" t="n">
        <x:v>46082</x:v>
      </x:c>
      <x:c r="D42" s="109" t="n">
        <x:v>46097</x:v>
      </x:c>
      <x:c r="E42" s="110" t="n">
        <x:v>0.5</x:v>
      </x:c>
      <x:c r="F42" s="110" t="n">
        <x:v>5</x:v>
      </x:c>
      <x:c r="G42" s="110" t="n">
        <x:v>0</x:v>
      </x:c>
      <x:c r="H42" s="111" t="n">
        <x:f>E42+F42-G42</x:f>
        <x:v>5.5</x:v>
      </x:c>
      <x:c r="I42" s="111" t="n">
        <x:f>SUMIFS($H$6:H42,$D$6:D42,D42)-H42</x:f>
        <x:v>11</x:v>
      </x:c>
      <x:c r="J42" s="111" t="n">
        <x:f>MIN(H42,MAX(0,40-I42))</x:f>
        <x:v>5.5</x:v>
      </x:c>
      <x:c r="K42" s="111" t="n">
        <x:f>H42-J42</x:f>
        <x:v>0</x:v>
      </x:c>
      <x:c r="L42" s="112" t="n">
        <x:f>J42*Reconciliation!$B$10</x:f>
        <x:v>137.5</x:v>
      </x:c>
      <x:c r="M42" s="112" t="n">
        <x:f>K42*Reconciliation!$B$10*1.5</x:f>
        <x:v>0</x:v>
      </x:c>
      <x:c r="N42" s="112" t="n">
        <x:f>L42+M42</x:f>
        <x:v>137.5</x:v>
      </x:c>
      <x:c r="O42" s="113" t="str">
        <x:v>Hypothetical planning/setup before 4 PM; instruction assumed 4–9 PM</x:v>
      </x:c>
    </x:row>
    <x:row r="43">
      <x:c r="A43" s="106" t="n">
        <x:v>46100</x:v>
      </x:c>
      <x:c r="B43" s="107" t="str">
        <x:v>Thu</x:v>
      </x:c>
      <x:c r="C43" s="108" t="n">
        <x:v>46082</x:v>
      </x:c>
      <x:c r="D43" s="109" t="n">
        <x:v>46097</x:v>
      </x:c>
      <x:c r="E43" s="110" t="n">
        <x:v>0.5</x:v>
      </x:c>
      <x:c r="F43" s="110" t="n">
        <x:v>5</x:v>
      </x:c>
      <x:c r="G43" s="110" t="n">
        <x:v>0</x:v>
      </x:c>
      <x:c r="H43" s="111" t="n">
        <x:f>E43+F43-G43</x:f>
        <x:v>5.5</x:v>
      </x:c>
      <x:c r="I43" s="111" t="n">
        <x:f>SUMIFS($H$6:H43,$D$6:D43,D43)-H43</x:f>
        <x:v>16.5</x:v>
      </x:c>
      <x:c r="J43" s="111" t="n">
        <x:f>MIN(H43,MAX(0,40-I43))</x:f>
        <x:v>5.5</x:v>
      </x:c>
      <x:c r="K43" s="111" t="n">
        <x:f>H43-J43</x:f>
        <x:v>0</x:v>
      </x:c>
      <x:c r="L43" s="112" t="n">
        <x:f>J43*Reconciliation!$B$10</x:f>
        <x:v>137.5</x:v>
      </x:c>
      <x:c r="M43" s="112" t="n">
        <x:f>K43*Reconciliation!$B$10*1.5</x:f>
        <x:v>0</x:v>
      </x:c>
      <x:c r="N43" s="112" t="n">
        <x:f>L43+M43</x:f>
        <x:v>137.5</x:v>
      </x:c>
      <x:c r="O43" s="113" t="str">
        <x:v>Hypothetical planning/setup before 4 PM; instruction assumed 4–9 PM</x:v>
      </x:c>
    </x:row>
    <x:row r="44">
      <x:c r="A44" s="106" t="n">
        <x:v>46101</x:v>
      </x:c>
      <x:c r="B44" s="107" t="str">
        <x:v>Fri</x:v>
      </x:c>
      <x:c r="C44" s="108" t="n">
        <x:v>46082</x:v>
      </x:c>
      <x:c r="D44" s="109" t="n">
        <x:v>46097</x:v>
      </x:c>
      <x:c r="E44" s="110" t="n">
        <x:v>0.5</x:v>
      </x:c>
      <x:c r="F44" s="110" t="n">
        <x:v>5</x:v>
      </x:c>
      <x:c r="G44" s="110" t="n">
        <x:v>0</x:v>
      </x:c>
      <x:c r="H44" s="111" t="n">
        <x:f>E44+F44-G44</x:f>
        <x:v>5.5</x:v>
      </x:c>
      <x:c r="I44" s="111" t="n">
        <x:f>SUMIFS($H$6:H44,$D$6:D44,D44)-H44</x:f>
        <x:v>22</x:v>
      </x:c>
      <x:c r="J44" s="111" t="n">
        <x:f>MIN(H44,MAX(0,40-I44))</x:f>
        <x:v>5.5</x:v>
      </x:c>
      <x:c r="K44" s="111" t="n">
        <x:f>H44-J44</x:f>
        <x:v>0</x:v>
      </x:c>
      <x:c r="L44" s="112" t="n">
        <x:f>J44*Reconciliation!$B$10</x:f>
        <x:v>137.5</x:v>
      </x:c>
      <x:c r="M44" s="112" t="n">
        <x:f>K44*Reconciliation!$B$10*1.5</x:f>
        <x:v>0</x:v>
      </x:c>
      <x:c r="N44" s="112" t="n">
        <x:f>L44+M44</x:f>
        <x:v>137.5</x:v>
      </x:c>
      <x:c r="O44" s="113" t="str">
        <x:v>Hypothetical planning/setup before 4 PM; instruction assumed 4–9 PM</x:v>
      </x:c>
    </x:row>
    <x:row r="45">
      <x:c r="A45" s="106" t="n">
        <x:v>46104</x:v>
      </x:c>
      <x:c r="B45" s="107" t="str">
        <x:v>Mon</x:v>
      </x:c>
      <x:c r="C45" s="108" t="n">
        <x:v>46082</x:v>
      </x:c>
      <x:c r="D45" s="109" t="n">
        <x:v>46104</x:v>
      </x:c>
      <x:c r="E45" s="110" t="n">
        <x:v>0.5</x:v>
      </x:c>
      <x:c r="F45" s="110" t="n">
        <x:v>5</x:v>
      </x:c>
      <x:c r="G45" s="110" t="n">
        <x:v>0</x:v>
      </x:c>
      <x:c r="H45" s="111" t="n">
        <x:f>E45+F45-G45</x:f>
        <x:v>5.5</x:v>
      </x:c>
      <x:c r="I45" s="111" t="n">
        <x:f>SUMIFS($H$6:H45,$D$6:D45,D45)-H45</x:f>
        <x:v>0</x:v>
      </x:c>
      <x:c r="J45" s="111" t="n">
        <x:f>MIN(H45,MAX(0,40-I45))</x:f>
        <x:v>5.5</x:v>
      </x:c>
      <x:c r="K45" s="111" t="n">
        <x:f>H45-J45</x:f>
        <x:v>0</x:v>
      </x:c>
      <x:c r="L45" s="112" t="n">
        <x:f>J45*Reconciliation!$B$10</x:f>
        <x:v>137.5</x:v>
      </x:c>
      <x:c r="M45" s="112" t="n">
        <x:f>K45*Reconciliation!$B$10*1.5</x:f>
        <x:v>0</x:v>
      </x:c>
      <x:c r="N45" s="112" t="n">
        <x:f>L45+M45</x:f>
        <x:v>137.5</x:v>
      </x:c>
      <x:c r="O45" s="113" t="str">
        <x:v>Hypothetical planning/setup before 4 PM; instruction assumed 4–9 PM</x:v>
      </x:c>
    </x:row>
    <x:row r="46">
      <x:c r="A46" s="106" t="n">
        <x:v>46105</x:v>
      </x:c>
      <x:c r="B46" s="107" t="str">
        <x:v>Tue</x:v>
      </x:c>
      <x:c r="C46" s="108" t="n">
        <x:v>46082</x:v>
      </x:c>
      <x:c r="D46" s="109" t="n">
        <x:v>46104</x:v>
      </x:c>
      <x:c r="E46" s="110" t="n">
        <x:v>0.5</x:v>
      </x:c>
      <x:c r="F46" s="110" t="n">
        <x:v>5</x:v>
      </x:c>
      <x:c r="G46" s="110" t="n">
        <x:v>0</x:v>
      </x:c>
      <x:c r="H46" s="111" t="n">
        <x:f>E46+F46-G46</x:f>
        <x:v>5.5</x:v>
      </x:c>
      <x:c r="I46" s="111" t="n">
        <x:f>SUMIFS($H$6:H46,$D$6:D46,D46)-H46</x:f>
        <x:v>5.5</x:v>
      </x:c>
      <x:c r="J46" s="111" t="n">
        <x:f>MIN(H46,MAX(0,40-I46))</x:f>
        <x:v>5.5</x:v>
      </x:c>
      <x:c r="K46" s="111" t="n">
        <x:f>H46-J46</x:f>
        <x:v>0</x:v>
      </x:c>
      <x:c r="L46" s="112" t="n">
        <x:f>J46*Reconciliation!$B$10</x:f>
        <x:v>137.5</x:v>
      </x:c>
      <x:c r="M46" s="112" t="n">
        <x:f>K46*Reconciliation!$B$10*1.5</x:f>
        <x:v>0</x:v>
      </x:c>
      <x:c r="N46" s="112" t="n">
        <x:f>L46+M46</x:f>
        <x:v>137.5</x:v>
      </x:c>
      <x:c r="O46" s="113" t="str">
        <x:v>Hypothetical planning/setup before 4 PM; instruction assumed 4–9 PM</x:v>
      </x:c>
    </x:row>
    <x:row r="47">
      <x:c r="A47" s="106" t="n">
        <x:v>46106</x:v>
      </x:c>
      <x:c r="B47" s="107" t="str">
        <x:v>Wed</x:v>
      </x:c>
      <x:c r="C47" s="108" t="n">
        <x:v>46082</x:v>
      </x:c>
      <x:c r="D47" s="109" t="n">
        <x:v>46104</x:v>
      </x:c>
      <x:c r="E47" s="110" t="n">
        <x:v>0.5</x:v>
      </x:c>
      <x:c r="F47" s="110" t="n">
        <x:v>5</x:v>
      </x:c>
      <x:c r="G47" s="110" t="n">
        <x:v>0</x:v>
      </x:c>
      <x:c r="H47" s="111" t="n">
        <x:f>E47+F47-G47</x:f>
        <x:v>5.5</x:v>
      </x:c>
      <x:c r="I47" s="111" t="n">
        <x:f>SUMIFS($H$6:H47,$D$6:D47,D47)-H47</x:f>
        <x:v>11</x:v>
      </x:c>
      <x:c r="J47" s="111" t="n">
        <x:f>MIN(H47,MAX(0,40-I47))</x:f>
        <x:v>5.5</x:v>
      </x:c>
      <x:c r="K47" s="111" t="n">
        <x:f>H47-J47</x:f>
        <x:v>0</x:v>
      </x:c>
      <x:c r="L47" s="112" t="n">
        <x:f>J47*Reconciliation!$B$10</x:f>
        <x:v>137.5</x:v>
      </x:c>
      <x:c r="M47" s="112" t="n">
        <x:f>K47*Reconciliation!$B$10*1.5</x:f>
        <x:v>0</x:v>
      </x:c>
      <x:c r="N47" s="112" t="n">
        <x:f>L47+M47</x:f>
        <x:v>137.5</x:v>
      </x:c>
      <x:c r="O47" s="113" t="str">
        <x:v>Hypothetical planning/setup before 4 PM; instruction assumed 4–9 PM</x:v>
      </x:c>
    </x:row>
    <x:row r="48">
      <x:c r="A48" s="106" t="n">
        <x:v>46107</x:v>
      </x:c>
      <x:c r="B48" s="107" t="str">
        <x:v>Thu</x:v>
      </x:c>
      <x:c r="C48" s="108" t="n">
        <x:v>46082</x:v>
      </x:c>
      <x:c r="D48" s="109" t="n">
        <x:v>46104</x:v>
      </x:c>
      <x:c r="E48" s="110" t="n">
        <x:v>0.25</x:v>
      </x:c>
      <x:c r="F48" s="110" t="n">
        <x:v>5</x:v>
      </x:c>
      <x:c r="G48" s="110" t="n">
        <x:v>0</x:v>
      </x:c>
      <x:c r="H48" s="111" t="n">
        <x:f>E48+F48-G48</x:f>
        <x:v>5.25</x:v>
      </x:c>
      <x:c r="I48" s="111" t="n">
        <x:f>SUMIFS($H$6:H48,$D$6:D48,D48)-H48</x:f>
        <x:v>16.5</x:v>
      </x:c>
      <x:c r="J48" s="111" t="n">
        <x:f>MIN(H48,MAX(0,40-I48))</x:f>
        <x:v>5.25</x:v>
      </x:c>
      <x:c r="K48" s="111" t="n">
        <x:f>H48-J48</x:f>
        <x:v>0</x:v>
      </x:c>
      <x:c r="L48" s="112" t="n">
        <x:f>J48*Reconciliation!$B$10</x:f>
        <x:v>131.25</x:v>
      </x:c>
      <x:c r="M48" s="112" t="n">
        <x:f>K48*Reconciliation!$B$10*1.5</x:f>
        <x:v>0</x:v>
      </x:c>
      <x:c r="N48" s="112" t="n">
        <x:f>L48+M48</x:f>
        <x:v>131.25</x:v>
      </x:c>
      <x:c r="O48" s="113" t="str">
        <x:v>Hypothetical planning/setup before 4 PM; instruction assumed 4–9 PM</x:v>
      </x:c>
    </x:row>
    <x:row r="49">
      <x:c r="A49" s="106" t="n">
        <x:v>46108</x:v>
      </x:c>
      <x:c r="B49" s="107" t="str">
        <x:v>Fri</x:v>
      </x:c>
      <x:c r="C49" s="108" t="n">
        <x:v>46082</x:v>
      </x:c>
      <x:c r="D49" s="109" t="n">
        <x:v>46104</x:v>
      </x:c>
      <x:c r="E49" s="110" t="n">
        <x:v>0.25</x:v>
      </x:c>
      <x:c r="F49" s="110" t="n">
        <x:v>5</x:v>
      </x:c>
      <x:c r="G49" s="110" t="n">
        <x:v>0</x:v>
      </x:c>
      <x:c r="H49" s="111" t="n">
        <x:f>E49+F49-G49</x:f>
        <x:v>5.25</x:v>
      </x:c>
      <x:c r="I49" s="111" t="n">
        <x:f>SUMIFS($H$6:H49,$D$6:D49,D49)-H49</x:f>
        <x:v>21.75</x:v>
      </x:c>
      <x:c r="J49" s="111" t="n">
        <x:f>MIN(H49,MAX(0,40-I49))</x:f>
        <x:v>5.25</x:v>
      </x:c>
      <x:c r="K49" s="111" t="n">
        <x:f>H49-J49</x:f>
        <x:v>0</x:v>
      </x:c>
      <x:c r="L49" s="112" t="n">
        <x:f>J49*Reconciliation!$B$10</x:f>
        <x:v>131.25</x:v>
      </x:c>
      <x:c r="M49" s="112" t="n">
        <x:f>K49*Reconciliation!$B$10*1.5</x:f>
        <x:v>0</x:v>
      </x:c>
      <x:c r="N49" s="112" t="n">
        <x:f>L49+M49</x:f>
        <x:v>131.25</x:v>
      </x:c>
      <x:c r="O49" s="113" t="str">
        <x:v>Hypothetical planning/setup before 4 PM; instruction assumed 4–9 PM</x:v>
      </x:c>
    </x:row>
    <x:row r="50">
      <x:c r="A50" s="106" t="n">
        <x:v>46111</x:v>
      </x:c>
      <x:c r="B50" s="107" t="str">
        <x:v>Mon</x:v>
      </x:c>
      <x:c r="C50" s="108" t="n">
        <x:v>46082</x:v>
      </x:c>
      <x:c r="D50" s="109" t="n">
        <x:v>46111</x:v>
      </x:c>
      <x:c r="E50" s="110" t="n">
        <x:v>0.25</x:v>
      </x:c>
      <x:c r="F50" s="110" t="n">
        <x:v>5</x:v>
      </x:c>
      <x:c r="G50" s="110" t="n">
        <x:v>0</x:v>
      </x:c>
      <x:c r="H50" s="111" t="n">
        <x:f>E50+F50-G50</x:f>
        <x:v>5.25</x:v>
      </x:c>
      <x:c r="I50" s="111" t="n">
        <x:f>SUMIFS($H$6:H50,$D$6:D50,D50)-H50</x:f>
        <x:v>0</x:v>
      </x:c>
      <x:c r="J50" s="111" t="n">
        <x:f>MIN(H50,MAX(0,40-I50))</x:f>
        <x:v>5.25</x:v>
      </x:c>
      <x:c r="K50" s="111" t="n">
        <x:f>H50-J50</x:f>
        <x:v>0</x:v>
      </x:c>
      <x:c r="L50" s="112" t="n">
        <x:f>J50*Reconciliation!$B$10</x:f>
        <x:v>131.25</x:v>
      </x:c>
      <x:c r="M50" s="112" t="n">
        <x:f>K50*Reconciliation!$B$10*1.5</x:f>
        <x:v>0</x:v>
      </x:c>
      <x:c r="N50" s="112" t="n">
        <x:f>L50+M50</x:f>
        <x:v>131.25</x:v>
      </x:c>
      <x:c r="O50" s="113" t="str">
        <x:v>Hypothetical planning/setup before 4 PM; instruction assumed 4–9 PM</x:v>
      </x:c>
    </x:row>
    <x:row r="51">
      <x:c r="A51" s="106" t="n">
        <x:v>46112</x:v>
      </x:c>
      <x:c r="B51" s="107" t="str">
        <x:v>Tue</x:v>
      </x:c>
      <x:c r="C51" s="108" t="n">
        <x:v>46082</x:v>
      </x:c>
      <x:c r="D51" s="109" t="n">
        <x:v>46111</x:v>
      </x:c>
      <x:c r="E51" s="110" t="n">
        <x:v>0.25</x:v>
      </x:c>
      <x:c r="F51" s="110" t="n">
        <x:v>5</x:v>
      </x:c>
      <x:c r="G51" s="110" t="n">
        <x:v>0</x:v>
      </x:c>
      <x:c r="H51" s="111" t="n">
        <x:f>E51+F51-G51</x:f>
        <x:v>5.25</x:v>
      </x:c>
      <x:c r="I51" s="111" t="n">
        <x:f>SUMIFS($H$6:H51,$D$6:D51,D51)-H51</x:f>
        <x:v>5.25</x:v>
      </x:c>
      <x:c r="J51" s="111" t="n">
        <x:f>MIN(H51,MAX(0,40-I51))</x:f>
        <x:v>5.25</x:v>
      </x:c>
      <x:c r="K51" s="111" t="n">
        <x:f>H51-J51</x:f>
        <x:v>0</x:v>
      </x:c>
      <x:c r="L51" s="112" t="n">
        <x:f>J51*Reconciliation!$B$10</x:f>
        <x:v>131.25</x:v>
      </x:c>
      <x:c r="M51" s="112" t="n">
        <x:f>K51*Reconciliation!$B$10*1.5</x:f>
        <x:v>0</x:v>
      </x:c>
      <x:c r="N51" s="112" t="n">
        <x:f>L51+M51</x:f>
        <x:v>131.25</x:v>
      </x:c>
      <x:c r="O51" s="113" t="str">
        <x:v>Hypothetical planning/setup before 4 PM; instruction assumed 4–9 PM</x:v>
      </x:c>
    </x:row>
    <x:row r="52">
      <x:c r="A52" s="106" t="n">
        <x:v>46113</x:v>
      </x:c>
      <x:c r="B52" s="107" t="str">
        <x:v>Wed</x:v>
      </x:c>
      <x:c r="C52" s="108" t="n">
        <x:v>46113</x:v>
      </x:c>
      <x:c r="D52" s="109" t="n">
        <x:v>46111</x:v>
      </x:c>
      <x:c r="E52" s="110" t="n">
        <x:v>3.25</x:v>
      </x:c>
      <x:c r="F52" s="110" t="n">
        <x:v>5</x:v>
      </x:c>
      <x:c r="G52" s="110" t="n">
        <x:v>0</x:v>
      </x:c>
      <x:c r="H52" s="111" t="n">
        <x:f>E52+F52-G52</x:f>
        <x:v>8.25</x:v>
      </x:c>
      <x:c r="I52" s="111" t="n">
        <x:f>SUMIFS($H$6:H52,$D$6:D52,D52)-H52</x:f>
        <x:v>10.5</x:v>
      </x:c>
      <x:c r="J52" s="111" t="n">
        <x:f>MIN(H52,MAX(0,40-I52))</x:f>
        <x:v>8.25</x:v>
      </x:c>
      <x:c r="K52" s="111" t="n">
        <x:f>H52-J52</x:f>
        <x:v>0</x:v>
      </x:c>
      <x:c r="L52" s="112" t="n">
        <x:f>J52*Reconciliation!$B$10</x:f>
        <x:v>206.25</x:v>
      </x:c>
      <x:c r="M52" s="112" t="n">
        <x:f>K52*Reconciliation!$B$10*1.5</x:f>
        <x:v>0</x:v>
      </x:c>
      <x:c r="N52" s="112" t="n">
        <x:f>L52+M52</x:f>
        <x:v>206.25</x:v>
      </x:c>
      <x:c r="O52" s="113" t="str">
        <x:v>Hypothetical planning/setup before 4 PM; instruction assumed 4–9 PM</x:v>
      </x:c>
    </x:row>
    <x:row r="53">
      <x:c r="A53" s="106" t="n">
        <x:v>46114</x:v>
      </x:c>
      <x:c r="B53" s="107" t="str">
        <x:v>Thu</x:v>
      </x:c>
      <x:c r="C53" s="108" t="n">
        <x:v>46113</x:v>
      </x:c>
      <x:c r="D53" s="109" t="n">
        <x:v>46111</x:v>
      </x:c>
      <x:c r="E53" s="110" t="n">
        <x:v>3.25</x:v>
      </x:c>
      <x:c r="F53" s="110" t="n">
        <x:v>5</x:v>
      </x:c>
      <x:c r="G53" s="110" t="n">
        <x:v>0</x:v>
      </x:c>
      <x:c r="H53" s="111" t="n">
        <x:f>E53+F53-G53</x:f>
        <x:v>8.25</x:v>
      </x:c>
      <x:c r="I53" s="111" t="n">
        <x:f>SUMIFS($H$6:H53,$D$6:D53,D53)-H53</x:f>
        <x:v>18.75</x:v>
      </x:c>
      <x:c r="J53" s="111" t="n">
        <x:f>MIN(H53,MAX(0,40-I53))</x:f>
        <x:v>8.25</x:v>
      </x:c>
      <x:c r="K53" s="111" t="n">
        <x:f>H53-J53</x:f>
        <x:v>0</x:v>
      </x:c>
      <x:c r="L53" s="112" t="n">
        <x:f>J53*Reconciliation!$B$10</x:f>
        <x:v>206.25</x:v>
      </x:c>
      <x:c r="M53" s="112" t="n">
        <x:f>K53*Reconciliation!$B$10*1.5</x:f>
        <x:v>0</x:v>
      </x:c>
      <x:c r="N53" s="112" t="n">
        <x:f>L53+M53</x:f>
        <x:v>206.25</x:v>
      </x:c>
      <x:c r="O53" s="113" t="str">
        <x:v>Hypothetical planning/setup before 4 PM; instruction assumed 4–9 PM</x:v>
      </x:c>
    </x:row>
    <x:row r="54">
      <x:c r="A54" s="106" t="n">
        <x:v>46115</x:v>
      </x:c>
      <x:c r="B54" s="107" t="str">
        <x:v>Fri</x:v>
      </x:c>
      <x:c r="C54" s="108" t="n">
        <x:v>46113</x:v>
      </x:c>
      <x:c r="D54" s="109" t="n">
        <x:v>46111</x:v>
      </x:c>
      <x:c r="E54" s="110" t="n">
        <x:v>3.25</x:v>
      </x:c>
      <x:c r="F54" s="110" t="n">
        <x:v>5</x:v>
      </x:c>
      <x:c r="G54" s="110" t="n">
        <x:v>0</x:v>
      </x:c>
      <x:c r="H54" s="111" t="n">
        <x:f>E54+F54-G54</x:f>
        <x:v>8.25</x:v>
      </x:c>
      <x:c r="I54" s="111" t="n">
        <x:f>SUMIFS($H$6:H54,$D$6:D54,D54)-H54</x:f>
        <x:v>27</x:v>
      </x:c>
      <x:c r="J54" s="111" t="n">
        <x:f>MIN(H54,MAX(0,40-I54))</x:f>
        <x:v>8.25</x:v>
      </x:c>
      <x:c r="K54" s="111" t="n">
        <x:f>H54-J54</x:f>
        <x:v>0</x:v>
      </x:c>
      <x:c r="L54" s="112" t="n">
        <x:f>J54*Reconciliation!$B$10</x:f>
        <x:v>206.25</x:v>
      </x:c>
      <x:c r="M54" s="112" t="n">
        <x:f>K54*Reconciliation!$B$10*1.5</x:f>
        <x:v>0</x:v>
      </x:c>
      <x:c r="N54" s="112" t="n">
        <x:f>L54+M54</x:f>
        <x:v>206.25</x:v>
      </x:c>
      <x:c r="O54" s="113" t="str">
        <x:v>Hypothetical planning/setup before 4 PM; instruction assumed 4–9 PM</x:v>
      </x:c>
    </x:row>
    <x:row r="55">
      <x:c r="A55" s="106" t="n">
        <x:v>46118</x:v>
      </x:c>
      <x:c r="B55" s="107" t="str">
        <x:v>Mon</x:v>
      </x:c>
      <x:c r="C55" s="108" t="n">
        <x:v>46113</x:v>
      </x:c>
      <x:c r="D55" s="109" t="n">
        <x:v>46118</x:v>
      </x:c>
      <x:c r="E55" s="110" t="n">
        <x:v>3.25</x:v>
      </x:c>
      <x:c r="F55" s="110" t="n">
        <x:v>5</x:v>
      </x:c>
      <x:c r="G55" s="110" t="n">
        <x:v>0</x:v>
      </x:c>
      <x:c r="H55" s="111" t="n">
        <x:f>E55+F55-G55</x:f>
        <x:v>8.25</x:v>
      </x:c>
      <x:c r="I55" s="111" t="n">
        <x:f>SUMIFS($H$6:H55,$D$6:D55,D55)-H55</x:f>
        <x:v>0</x:v>
      </x:c>
      <x:c r="J55" s="111" t="n">
        <x:f>MIN(H55,MAX(0,40-I55))</x:f>
        <x:v>8.25</x:v>
      </x:c>
      <x:c r="K55" s="111" t="n">
        <x:f>H55-J55</x:f>
        <x:v>0</x:v>
      </x:c>
      <x:c r="L55" s="112" t="n">
        <x:f>J55*Reconciliation!$B$10</x:f>
        <x:v>206.25</x:v>
      </x:c>
      <x:c r="M55" s="112" t="n">
        <x:f>K55*Reconciliation!$B$10*1.5</x:f>
        <x:v>0</x:v>
      </x:c>
      <x:c r="N55" s="112" t="n">
        <x:f>L55+M55</x:f>
        <x:v>206.25</x:v>
      </x:c>
      <x:c r="O55" s="113" t="str">
        <x:v>Hypothetical planning/setup before 4 PM; instruction assumed 4–9 PM</x:v>
      </x:c>
    </x:row>
    <x:row r="56">
      <x:c r="A56" s="106" t="n">
        <x:v>46119</x:v>
      </x:c>
      <x:c r="B56" s="107" t="str">
        <x:v>Tue</x:v>
      </x:c>
      <x:c r="C56" s="108" t="n">
        <x:v>46113</x:v>
      </x:c>
      <x:c r="D56" s="109" t="n">
        <x:v>46118</x:v>
      </x:c>
      <x:c r="E56" s="110" t="n">
        <x:v>3.25</x:v>
      </x:c>
      <x:c r="F56" s="110" t="n">
        <x:v>5</x:v>
      </x:c>
      <x:c r="G56" s="110" t="n">
        <x:v>0</x:v>
      </x:c>
      <x:c r="H56" s="111" t="n">
        <x:f>E56+F56-G56</x:f>
        <x:v>8.25</x:v>
      </x:c>
      <x:c r="I56" s="111" t="n">
        <x:f>SUMIFS($H$6:H56,$D$6:D56,D56)-H56</x:f>
        <x:v>8.25</x:v>
      </x:c>
      <x:c r="J56" s="111" t="n">
        <x:f>MIN(H56,MAX(0,40-I56))</x:f>
        <x:v>8.25</x:v>
      </x:c>
      <x:c r="K56" s="111" t="n">
        <x:f>H56-J56</x:f>
        <x:v>0</x:v>
      </x:c>
      <x:c r="L56" s="112" t="n">
        <x:f>J56*Reconciliation!$B$10</x:f>
        <x:v>206.25</x:v>
      </x:c>
      <x:c r="M56" s="112" t="n">
        <x:f>K56*Reconciliation!$B$10*1.5</x:f>
        <x:v>0</x:v>
      </x:c>
      <x:c r="N56" s="112" t="n">
        <x:f>L56+M56</x:f>
        <x:v>206.25</x:v>
      </x:c>
      <x:c r="O56" s="113" t="str">
        <x:v>Hypothetical planning/setup before 4 PM; instruction assumed 4–9 PM</x:v>
      </x:c>
    </x:row>
    <x:row r="57">
      <x:c r="A57" s="106" t="n">
        <x:v>46120</x:v>
      </x:c>
      <x:c r="B57" s="107" t="str">
        <x:v>Wed</x:v>
      </x:c>
      <x:c r="C57" s="108" t="n">
        <x:v>46113</x:v>
      </x:c>
      <x:c r="D57" s="109" t="n">
        <x:v>46118</x:v>
      </x:c>
      <x:c r="E57" s="110" t="n">
        <x:v>3.25</x:v>
      </x:c>
      <x:c r="F57" s="110" t="n">
        <x:v>5</x:v>
      </x:c>
      <x:c r="G57" s="110" t="n">
        <x:v>0</x:v>
      </x:c>
      <x:c r="H57" s="111" t="n">
        <x:f>E57+F57-G57</x:f>
        <x:v>8.25</x:v>
      </x:c>
      <x:c r="I57" s="111" t="n">
        <x:f>SUMIFS($H$6:H57,$D$6:D57,D57)-H57</x:f>
        <x:v>16.5</x:v>
      </x:c>
      <x:c r="J57" s="111" t="n">
        <x:f>MIN(H57,MAX(0,40-I57))</x:f>
        <x:v>8.25</x:v>
      </x:c>
      <x:c r="K57" s="111" t="n">
        <x:f>H57-J57</x:f>
        <x:v>0</x:v>
      </x:c>
      <x:c r="L57" s="112" t="n">
        <x:f>J57*Reconciliation!$B$10</x:f>
        <x:v>206.25</x:v>
      </x:c>
      <x:c r="M57" s="112" t="n">
        <x:f>K57*Reconciliation!$B$10*1.5</x:f>
        <x:v>0</x:v>
      </x:c>
      <x:c r="N57" s="112" t="n">
        <x:f>L57+M57</x:f>
        <x:v>206.25</x:v>
      </x:c>
      <x:c r="O57" s="113" t="str">
        <x:v>Hypothetical planning/setup before 4 PM; instruction assumed 4–9 PM</x:v>
      </x:c>
    </x:row>
    <x:row r="58">
      <x:c r="A58" s="106" t="n">
        <x:v>46121</x:v>
      </x:c>
      <x:c r="B58" s="107" t="str">
        <x:v>Thu</x:v>
      </x:c>
      <x:c r="C58" s="108" t="n">
        <x:v>46113</x:v>
      </x:c>
      <x:c r="D58" s="109" t="n">
        <x:v>46118</x:v>
      </x:c>
      <x:c r="E58" s="110" t="n">
        <x:v>3.25</x:v>
      </x:c>
      <x:c r="F58" s="110" t="n">
        <x:v>5</x:v>
      </x:c>
      <x:c r="G58" s="110" t="n">
        <x:v>0</x:v>
      </x:c>
      <x:c r="H58" s="111" t="n">
        <x:f>E58+F58-G58</x:f>
        <x:v>8.25</x:v>
      </x:c>
      <x:c r="I58" s="111" t="n">
        <x:f>SUMIFS($H$6:H58,$D$6:D58,D58)-H58</x:f>
        <x:v>24.75</x:v>
      </x:c>
      <x:c r="J58" s="111" t="n">
        <x:f>MIN(H58,MAX(0,40-I58))</x:f>
        <x:v>8.25</x:v>
      </x:c>
      <x:c r="K58" s="111" t="n">
        <x:f>H58-J58</x:f>
        <x:v>0</x:v>
      </x:c>
      <x:c r="L58" s="112" t="n">
        <x:f>J58*Reconciliation!$B$10</x:f>
        <x:v>206.25</x:v>
      </x:c>
      <x:c r="M58" s="112" t="n">
        <x:f>K58*Reconciliation!$B$10*1.5</x:f>
        <x:v>0</x:v>
      </x:c>
      <x:c r="N58" s="112" t="n">
        <x:f>L58+M58</x:f>
        <x:v>206.25</x:v>
      </x:c>
      <x:c r="O58" s="113" t="str">
        <x:v>Hypothetical planning/setup before 4 PM; instruction assumed 4–9 PM</x:v>
      </x:c>
    </x:row>
    <x:row r="59">
      <x:c r="A59" s="106" t="n">
        <x:v>46122</x:v>
      </x:c>
      <x:c r="B59" s="107" t="str">
        <x:v>Fri</x:v>
      </x:c>
      <x:c r="C59" s="108" t="n">
        <x:v>46113</x:v>
      </x:c>
      <x:c r="D59" s="109" t="n">
        <x:v>46118</x:v>
      </x:c>
      <x:c r="E59" s="110" t="n">
        <x:v>3.25</x:v>
      </x:c>
      <x:c r="F59" s="110" t="n">
        <x:v>5</x:v>
      </x:c>
      <x:c r="G59" s="110" t="n">
        <x:v>0</x:v>
      </x:c>
      <x:c r="H59" s="111" t="n">
        <x:f>E59+F59-G59</x:f>
        <x:v>8.25</x:v>
      </x:c>
      <x:c r="I59" s="111" t="n">
        <x:f>SUMIFS($H$6:H59,$D$6:D59,D59)-H59</x:f>
        <x:v>33</x:v>
      </x:c>
      <x:c r="J59" s="111" t="n">
        <x:f>MIN(H59,MAX(0,40-I59))</x:f>
        <x:v>7</x:v>
      </x:c>
      <x:c r="K59" s="111" t="n">
        <x:f>H59-J59</x:f>
        <x:v>1.25</x:v>
      </x:c>
      <x:c r="L59" s="112" t="n">
        <x:f>J59*Reconciliation!$B$10</x:f>
        <x:v>175</x:v>
      </x:c>
      <x:c r="M59" s="112" t="n">
        <x:f>K59*Reconciliation!$B$10*1.5</x:f>
        <x:v>46.875</x:v>
      </x:c>
      <x:c r="N59" s="112" t="n">
        <x:f>L59+M59</x:f>
        <x:v>221.875</x:v>
      </x:c>
      <x:c r="O59" s="113" t="str">
        <x:v>Hypothetical planning/setup before 4 PM; instruction assumed 4–9 PM</x:v>
      </x:c>
    </x:row>
    <x:row r="60">
      <x:c r="A60" s="106" t="n">
        <x:v>46125</x:v>
      </x:c>
      <x:c r="B60" s="107" t="str">
        <x:v>Mon</x:v>
      </x:c>
      <x:c r="C60" s="108" t="n">
        <x:v>46113</x:v>
      </x:c>
      <x:c r="D60" s="109" t="n">
        <x:v>46125</x:v>
      </x:c>
      <x:c r="E60" s="110" t="n">
        <x:v>3.25</x:v>
      </x:c>
      <x:c r="F60" s="110" t="n">
        <x:v>5</x:v>
      </x:c>
      <x:c r="G60" s="110" t="n">
        <x:v>0</x:v>
      </x:c>
      <x:c r="H60" s="111" t="n">
        <x:f>E60+F60-G60</x:f>
        <x:v>8.25</x:v>
      </x:c>
      <x:c r="I60" s="111" t="n">
        <x:f>SUMIFS($H$6:H60,$D$6:D60,D60)-H60</x:f>
        <x:v>0</x:v>
      </x:c>
      <x:c r="J60" s="111" t="n">
        <x:f>MIN(H60,MAX(0,40-I60))</x:f>
        <x:v>8.25</x:v>
      </x:c>
      <x:c r="K60" s="111" t="n">
        <x:f>H60-J60</x:f>
        <x:v>0</x:v>
      </x:c>
      <x:c r="L60" s="112" t="n">
        <x:f>J60*Reconciliation!$B$10</x:f>
        <x:v>206.25</x:v>
      </x:c>
      <x:c r="M60" s="112" t="n">
        <x:f>K60*Reconciliation!$B$10*1.5</x:f>
        <x:v>0</x:v>
      </x:c>
      <x:c r="N60" s="112" t="n">
        <x:f>L60+M60</x:f>
        <x:v>206.25</x:v>
      </x:c>
      <x:c r="O60" s="113" t="str">
        <x:v>Hypothetical planning/setup before 4 PM; instruction assumed 4–9 PM</x:v>
      </x:c>
    </x:row>
    <x:row r="61">
      <x:c r="A61" s="106" t="n">
        <x:v>46126</x:v>
      </x:c>
      <x:c r="B61" s="107" t="str">
        <x:v>Tue</x:v>
      </x:c>
      <x:c r="C61" s="108" t="n">
        <x:v>46113</x:v>
      </x:c>
      <x:c r="D61" s="109" t="n">
        <x:v>46125</x:v>
      </x:c>
      <x:c r="E61" s="110" t="n">
        <x:v>3.25</x:v>
      </x:c>
      <x:c r="F61" s="110" t="n">
        <x:v>5</x:v>
      </x:c>
      <x:c r="G61" s="110" t="n">
        <x:v>0</x:v>
      </x:c>
      <x:c r="H61" s="111" t="n">
        <x:f>E61+F61-G61</x:f>
        <x:v>8.25</x:v>
      </x:c>
      <x:c r="I61" s="111" t="n">
        <x:f>SUMIFS($H$6:H61,$D$6:D61,D61)-H61</x:f>
        <x:v>8.25</x:v>
      </x:c>
      <x:c r="J61" s="111" t="n">
        <x:f>MIN(H61,MAX(0,40-I61))</x:f>
        <x:v>8.25</x:v>
      </x:c>
      <x:c r="K61" s="111" t="n">
        <x:f>H61-J61</x:f>
        <x:v>0</x:v>
      </x:c>
      <x:c r="L61" s="112" t="n">
        <x:f>J61*Reconciliation!$B$10</x:f>
        <x:v>206.25</x:v>
      </x:c>
      <x:c r="M61" s="112" t="n">
        <x:f>K61*Reconciliation!$B$10*1.5</x:f>
        <x:v>0</x:v>
      </x:c>
      <x:c r="N61" s="112" t="n">
        <x:f>L61+M61</x:f>
        <x:v>206.25</x:v>
      </x:c>
      <x:c r="O61" s="113" t="str">
        <x:v>Hypothetical planning/setup before 4 PM; instruction assumed 4–9 PM</x:v>
      </x:c>
    </x:row>
    <x:row r="62">
      <x:c r="A62" s="106" t="n">
        <x:v>46127</x:v>
      </x:c>
      <x:c r="B62" s="107" t="str">
        <x:v>Wed</x:v>
      </x:c>
      <x:c r="C62" s="108" t="n">
        <x:v>46113</x:v>
      </x:c>
      <x:c r="D62" s="109" t="n">
        <x:v>46125</x:v>
      </x:c>
      <x:c r="E62" s="110" t="n">
        <x:v>3.25</x:v>
      </x:c>
      <x:c r="F62" s="110" t="n">
        <x:v>5</x:v>
      </x:c>
      <x:c r="G62" s="110" t="n">
        <x:v>0</x:v>
      </x:c>
      <x:c r="H62" s="111" t="n">
        <x:f>E62+F62-G62</x:f>
        <x:v>8.25</x:v>
      </x:c>
      <x:c r="I62" s="111" t="n">
        <x:f>SUMIFS($H$6:H62,$D$6:D62,D62)-H62</x:f>
        <x:v>16.5</x:v>
      </x:c>
      <x:c r="J62" s="111" t="n">
        <x:f>MIN(H62,MAX(0,40-I62))</x:f>
        <x:v>8.25</x:v>
      </x:c>
      <x:c r="K62" s="111" t="n">
        <x:f>H62-J62</x:f>
        <x:v>0</x:v>
      </x:c>
      <x:c r="L62" s="112" t="n">
        <x:f>J62*Reconciliation!$B$10</x:f>
        <x:v>206.25</x:v>
      </x:c>
      <x:c r="M62" s="112" t="n">
        <x:f>K62*Reconciliation!$B$10*1.5</x:f>
        <x:v>0</x:v>
      </x:c>
      <x:c r="N62" s="112" t="n">
        <x:f>L62+M62</x:f>
        <x:v>206.25</x:v>
      </x:c>
      <x:c r="O62" s="113" t="str">
        <x:v>Hypothetical planning/setup before 4 PM; instruction assumed 4–9 PM</x:v>
      </x:c>
    </x:row>
    <x:row r="63">
      <x:c r="A63" s="106" t="n">
        <x:v>46128</x:v>
      </x:c>
      <x:c r="B63" s="107" t="str">
        <x:v>Thu</x:v>
      </x:c>
      <x:c r="C63" s="108" t="n">
        <x:v>46113</x:v>
      </x:c>
      <x:c r="D63" s="109" t="n">
        <x:v>46125</x:v>
      </x:c>
      <x:c r="E63" s="110" t="n">
        <x:v>3.25</x:v>
      </x:c>
      <x:c r="F63" s="110" t="n">
        <x:v>5</x:v>
      </x:c>
      <x:c r="G63" s="110" t="n">
        <x:v>0</x:v>
      </x:c>
      <x:c r="H63" s="111" t="n">
        <x:f>E63+F63-G63</x:f>
        <x:v>8.25</x:v>
      </x:c>
      <x:c r="I63" s="111" t="n">
        <x:f>SUMIFS($H$6:H63,$D$6:D63,D63)-H63</x:f>
        <x:v>24.75</x:v>
      </x:c>
      <x:c r="J63" s="111" t="n">
        <x:f>MIN(H63,MAX(0,40-I63))</x:f>
        <x:v>8.25</x:v>
      </x:c>
      <x:c r="K63" s="111" t="n">
        <x:f>H63-J63</x:f>
        <x:v>0</x:v>
      </x:c>
      <x:c r="L63" s="112" t="n">
        <x:f>J63*Reconciliation!$B$10</x:f>
        <x:v>206.25</x:v>
      </x:c>
      <x:c r="M63" s="112" t="n">
        <x:f>K63*Reconciliation!$B$10*1.5</x:f>
        <x:v>0</x:v>
      </x:c>
      <x:c r="N63" s="112" t="n">
        <x:f>L63+M63</x:f>
        <x:v>206.25</x:v>
      </x:c>
      <x:c r="O63" s="113" t="str">
        <x:v>Hypothetical planning/setup before 4 PM; instruction assumed 4–9 PM</x:v>
      </x:c>
    </x:row>
    <x:row r="64">
      <x:c r="A64" s="106" t="n">
        <x:v>46129</x:v>
      </x:c>
      <x:c r="B64" s="107" t="str">
        <x:v>Fri</x:v>
      </x:c>
      <x:c r="C64" s="108" t="n">
        <x:v>46113</x:v>
      </x:c>
      <x:c r="D64" s="109" t="n">
        <x:v>46125</x:v>
      </x:c>
      <x:c r="E64" s="110" t="n">
        <x:v>3.25</x:v>
      </x:c>
      <x:c r="F64" s="110" t="n">
        <x:v>5</x:v>
      </x:c>
      <x:c r="G64" s="110" t="n">
        <x:v>0</x:v>
      </x:c>
      <x:c r="H64" s="111" t="n">
        <x:f>E64+F64-G64</x:f>
        <x:v>8.25</x:v>
      </x:c>
      <x:c r="I64" s="111" t="n">
        <x:f>SUMIFS($H$6:H64,$D$6:D64,D64)-H64</x:f>
        <x:v>33</x:v>
      </x:c>
      <x:c r="J64" s="111" t="n">
        <x:f>MIN(H64,MAX(0,40-I64))</x:f>
        <x:v>7</x:v>
      </x:c>
      <x:c r="K64" s="111" t="n">
        <x:f>H64-J64</x:f>
        <x:v>1.25</x:v>
      </x:c>
      <x:c r="L64" s="112" t="n">
        <x:f>J64*Reconciliation!$B$10</x:f>
        <x:v>175</x:v>
      </x:c>
      <x:c r="M64" s="112" t="n">
        <x:f>K64*Reconciliation!$B$10*1.5</x:f>
        <x:v>46.875</x:v>
      </x:c>
      <x:c r="N64" s="112" t="n">
        <x:f>L64+M64</x:f>
        <x:v>221.875</x:v>
      </x:c>
      <x:c r="O64" s="113" t="str">
        <x:v>Hypothetical planning/setup before 4 PM; instruction assumed 4–9 PM</x:v>
      </x:c>
    </x:row>
    <x:row r="65">
      <x:c r="A65" s="106" t="n">
        <x:v>46132</x:v>
      </x:c>
      <x:c r="B65" s="107" t="str">
        <x:v>Mon</x:v>
      </x:c>
      <x:c r="C65" s="108" t="n">
        <x:v>46113</x:v>
      </x:c>
      <x:c r="D65" s="109" t="n">
        <x:v>46132</x:v>
      </x:c>
      <x:c r="E65" s="110" t="n">
        <x:v>3.25</x:v>
      </x:c>
      <x:c r="F65" s="110" t="n">
        <x:v>5</x:v>
      </x:c>
      <x:c r="G65" s="110" t="n">
        <x:v>0</x:v>
      </x:c>
      <x:c r="H65" s="111" t="n">
        <x:f>E65+F65-G65</x:f>
        <x:v>8.25</x:v>
      </x:c>
      <x:c r="I65" s="111" t="n">
        <x:f>SUMIFS($H$6:H65,$D$6:D65,D65)-H65</x:f>
        <x:v>0</x:v>
      </x:c>
      <x:c r="J65" s="111" t="n">
        <x:f>MIN(H65,MAX(0,40-I65))</x:f>
        <x:v>8.25</x:v>
      </x:c>
      <x:c r="K65" s="111" t="n">
        <x:f>H65-J65</x:f>
        <x:v>0</x:v>
      </x:c>
      <x:c r="L65" s="112" t="n">
        <x:f>J65*Reconciliation!$B$10</x:f>
        <x:v>206.25</x:v>
      </x:c>
      <x:c r="M65" s="112" t="n">
        <x:f>K65*Reconciliation!$B$10*1.5</x:f>
        <x:v>0</x:v>
      </x:c>
      <x:c r="N65" s="112" t="n">
        <x:f>L65+M65</x:f>
        <x:v>206.25</x:v>
      </x:c>
      <x:c r="O65" s="113" t="str">
        <x:v>Hypothetical planning/setup before 4 PM; instruction assumed 4–9 PM</x:v>
      </x:c>
    </x:row>
    <x:row r="66">
      <x:c r="A66" s="106" t="n">
        <x:v>46133</x:v>
      </x:c>
      <x:c r="B66" s="107" t="str">
        <x:v>Tue</x:v>
      </x:c>
      <x:c r="C66" s="108" t="n">
        <x:v>46113</x:v>
      </x:c>
      <x:c r="D66" s="109" t="n">
        <x:v>46132</x:v>
      </x:c>
      <x:c r="E66" s="110" t="n">
        <x:v>3.25</x:v>
      </x:c>
      <x:c r="F66" s="110" t="n">
        <x:v>5</x:v>
      </x:c>
      <x:c r="G66" s="110" t="n">
        <x:v>0</x:v>
      </x:c>
      <x:c r="H66" s="111" t="n">
        <x:f>E66+F66-G66</x:f>
        <x:v>8.25</x:v>
      </x:c>
      <x:c r="I66" s="111" t="n">
        <x:f>SUMIFS($H$6:H66,$D$6:D66,D66)-H66</x:f>
        <x:v>8.25</x:v>
      </x:c>
      <x:c r="J66" s="111" t="n">
        <x:f>MIN(H66,MAX(0,40-I66))</x:f>
        <x:v>8.25</x:v>
      </x:c>
      <x:c r="K66" s="111" t="n">
        <x:f>H66-J66</x:f>
        <x:v>0</x:v>
      </x:c>
      <x:c r="L66" s="112" t="n">
        <x:f>J66*Reconciliation!$B$10</x:f>
        <x:v>206.25</x:v>
      </x:c>
      <x:c r="M66" s="112" t="n">
        <x:f>K66*Reconciliation!$B$10*1.5</x:f>
        <x:v>0</x:v>
      </x:c>
      <x:c r="N66" s="112" t="n">
        <x:f>L66+M66</x:f>
        <x:v>206.25</x:v>
      </x:c>
      <x:c r="O66" s="113" t="str">
        <x:v>Hypothetical planning/setup before 4 PM; instruction assumed 4–9 PM</x:v>
      </x:c>
    </x:row>
    <x:row r="67">
      <x:c r="A67" s="106" t="n">
        <x:v>46134</x:v>
      </x:c>
      <x:c r="B67" s="107" t="str">
        <x:v>Wed</x:v>
      </x:c>
      <x:c r="C67" s="108" t="n">
        <x:v>46113</x:v>
      </x:c>
      <x:c r="D67" s="109" t="n">
        <x:v>46132</x:v>
      </x:c>
      <x:c r="E67" s="110" t="n">
        <x:v>3.25</x:v>
      </x:c>
      <x:c r="F67" s="110" t="n">
        <x:v>5</x:v>
      </x:c>
      <x:c r="G67" s="110" t="n">
        <x:v>0</x:v>
      </x:c>
      <x:c r="H67" s="111" t="n">
        <x:f>E67+F67-G67</x:f>
        <x:v>8.25</x:v>
      </x:c>
      <x:c r="I67" s="111" t="n">
        <x:f>SUMIFS($H$6:H67,$D$6:D67,D67)-H67</x:f>
        <x:v>16.5</x:v>
      </x:c>
      <x:c r="J67" s="111" t="n">
        <x:f>MIN(H67,MAX(0,40-I67))</x:f>
        <x:v>8.25</x:v>
      </x:c>
      <x:c r="K67" s="111" t="n">
        <x:f>H67-J67</x:f>
        <x:v>0</x:v>
      </x:c>
      <x:c r="L67" s="112" t="n">
        <x:f>J67*Reconciliation!$B$10</x:f>
        <x:v>206.25</x:v>
      </x:c>
      <x:c r="M67" s="112" t="n">
        <x:f>K67*Reconciliation!$B$10*1.5</x:f>
        <x:v>0</x:v>
      </x:c>
      <x:c r="N67" s="112" t="n">
        <x:f>L67+M67</x:f>
        <x:v>206.25</x:v>
      </x:c>
      <x:c r="O67" s="113" t="str">
        <x:v>Hypothetical planning/setup before 4 PM; instruction assumed 4–9 PM</x:v>
      </x:c>
    </x:row>
    <x:row r="68">
      <x:c r="A68" s="106" t="n">
        <x:v>46135</x:v>
      </x:c>
      <x:c r="B68" s="107" t="str">
        <x:v>Thu</x:v>
      </x:c>
      <x:c r="C68" s="108" t="n">
        <x:v>46113</x:v>
      </x:c>
      <x:c r="D68" s="109" t="n">
        <x:v>46132</x:v>
      </x:c>
      <x:c r="E68" s="110" t="n">
        <x:v>3</x:v>
      </x:c>
      <x:c r="F68" s="110" t="n">
        <x:v>5</x:v>
      </x:c>
      <x:c r="G68" s="110" t="n">
        <x:v>0</x:v>
      </x:c>
      <x:c r="H68" s="111" t="n">
        <x:f>E68+F68-G68</x:f>
        <x:v>8</x:v>
      </x:c>
      <x:c r="I68" s="111" t="n">
        <x:f>SUMIFS($H$6:H68,$D$6:D68,D68)-H68</x:f>
        <x:v>24.75</x:v>
      </x:c>
      <x:c r="J68" s="111" t="n">
        <x:f>MIN(H68,MAX(0,40-I68))</x:f>
        <x:v>8</x:v>
      </x:c>
      <x:c r="K68" s="111" t="n">
        <x:f>H68-J68</x:f>
        <x:v>0</x:v>
      </x:c>
      <x:c r="L68" s="112" t="n">
        <x:f>J68*Reconciliation!$B$10</x:f>
        <x:v>200</x:v>
      </x:c>
      <x:c r="M68" s="112" t="n">
        <x:f>K68*Reconciliation!$B$10*1.5</x:f>
        <x:v>0</x:v>
      </x:c>
      <x:c r="N68" s="112" t="n">
        <x:f>L68+M68</x:f>
        <x:v>200</x:v>
      </x:c>
      <x:c r="O68" s="113" t="str">
        <x:v>Hypothetical planning/setup before 4 PM; instruction assumed 4–9 PM</x:v>
      </x:c>
    </x:row>
    <x:row r="69">
      <x:c r="A69" s="106" t="n">
        <x:v>46136</x:v>
      </x:c>
      <x:c r="B69" s="107" t="str">
        <x:v>Fri</x:v>
      </x:c>
      <x:c r="C69" s="108" t="n">
        <x:v>46113</x:v>
      </x:c>
      <x:c r="D69" s="109" t="n">
        <x:v>46132</x:v>
      </x:c>
      <x:c r="E69" s="110" t="n">
        <x:v>3</x:v>
      </x:c>
      <x:c r="F69" s="110" t="n">
        <x:v>5</x:v>
      </x:c>
      <x:c r="G69" s="110" t="n">
        <x:v>0</x:v>
      </x:c>
      <x:c r="H69" s="111" t="n">
        <x:f>E69+F69-G69</x:f>
        <x:v>8</x:v>
      </x:c>
      <x:c r="I69" s="111" t="n">
        <x:f>SUMIFS($H$6:H69,$D$6:D69,D69)-H69</x:f>
        <x:v>32.75</x:v>
      </x:c>
      <x:c r="J69" s="111" t="n">
        <x:f>MIN(H69,MAX(0,40-I69))</x:f>
        <x:v>7.25</x:v>
      </x:c>
      <x:c r="K69" s="111" t="n">
        <x:f>H69-J69</x:f>
        <x:v>0.75</x:v>
      </x:c>
      <x:c r="L69" s="112" t="n">
        <x:f>J69*Reconciliation!$B$10</x:f>
        <x:v>181.25</x:v>
      </x:c>
      <x:c r="M69" s="112" t="n">
        <x:f>K69*Reconciliation!$B$10*1.5</x:f>
        <x:v>28.125</x:v>
      </x:c>
      <x:c r="N69" s="112" t="n">
        <x:f>L69+M69</x:f>
        <x:v>209.375</x:v>
      </x:c>
      <x:c r="O69" s="113" t="str">
        <x:v>Hypothetical planning/setup before 4 PM; instruction assumed 4–9 PM</x:v>
      </x:c>
    </x:row>
    <x:row r="70">
      <x:c r="A70" s="106" t="n">
        <x:v>46139</x:v>
      </x:c>
      <x:c r="B70" s="107" t="str">
        <x:v>Mon</x:v>
      </x:c>
      <x:c r="C70" s="108" t="n">
        <x:v>46113</x:v>
      </x:c>
      <x:c r="D70" s="109" t="n">
        <x:v>46139</x:v>
      </x:c>
      <x:c r="E70" s="110" t="n">
        <x:v>3</x:v>
      </x:c>
      <x:c r="F70" s="110" t="n">
        <x:v>5</x:v>
      </x:c>
      <x:c r="G70" s="110" t="n">
        <x:v>0</x:v>
      </x:c>
      <x:c r="H70" s="111" t="n">
        <x:f>E70+F70-G70</x:f>
        <x:v>8</x:v>
      </x:c>
      <x:c r="I70" s="111" t="n">
        <x:f>SUMIFS($H$6:H70,$D$6:D70,D70)-H70</x:f>
        <x:v>0</x:v>
      </x:c>
      <x:c r="J70" s="111" t="n">
        <x:f>MIN(H70,MAX(0,40-I70))</x:f>
        <x:v>8</x:v>
      </x:c>
      <x:c r="K70" s="111" t="n">
        <x:f>H70-J70</x:f>
        <x:v>0</x:v>
      </x:c>
      <x:c r="L70" s="112" t="n">
        <x:f>J70*Reconciliation!$B$10</x:f>
        <x:v>200</x:v>
      </x:c>
      <x:c r="M70" s="112" t="n">
        <x:f>K70*Reconciliation!$B$10*1.5</x:f>
        <x:v>0</x:v>
      </x:c>
      <x:c r="N70" s="112" t="n">
        <x:f>L70+M70</x:f>
        <x:v>200</x:v>
      </x:c>
      <x:c r="O70" s="113" t="str">
        <x:v>Hypothetical planning/setup before 4 PM; instruction assumed 4–9 PM</x:v>
      </x:c>
    </x:row>
    <x:row r="71">
      <x:c r="A71" s="106" t="n">
        <x:v>46140</x:v>
      </x:c>
      <x:c r="B71" s="107" t="str">
        <x:v>Tue</x:v>
      </x:c>
      <x:c r="C71" s="108" t="n">
        <x:v>46113</x:v>
      </x:c>
      <x:c r="D71" s="109" t="n">
        <x:v>46139</x:v>
      </x:c>
      <x:c r="E71" s="110" t="n">
        <x:v>3</x:v>
      </x:c>
      <x:c r="F71" s="110" t="n">
        <x:v>5</x:v>
      </x:c>
      <x:c r="G71" s="110" t="n">
        <x:v>0</x:v>
      </x:c>
      <x:c r="H71" s="111" t="n">
        <x:f>E71+F71-G71</x:f>
        <x:v>8</x:v>
      </x:c>
      <x:c r="I71" s="111" t="n">
        <x:f>SUMIFS($H$6:H71,$D$6:D71,D71)-H71</x:f>
        <x:v>8</x:v>
      </x:c>
      <x:c r="J71" s="111" t="n">
        <x:f>MIN(H71,MAX(0,40-I71))</x:f>
        <x:v>8</x:v>
      </x:c>
      <x:c r="K71" s="111" t="n">
        <x:f>H71-J71</x:f>
        <x:v>0</x:v>
      </x:c>
      <x:c r="L71" s="112" t="n">
        <x:f>J71*Reconciliation!$B$10</x:f>
        <x:v>200</x:v>
      </x:c>
      <x:c r="M71" s="112" t="n">
        <x:f>K71*Reconciliation!$B$10*1.5</x:f>
        <x:v>0</x:v>
      </x:c>
      <x:c r="N71" s="112" t="n">
        <x:f>L71+M71</x:f>
        <x:v>200</x:v>
      </x:c>
      <x:c r="O71" s="113" t="str">
        <x:v>Hypothetical planning/setup before 4 PM; instruction assumed 4–9 PM</x:v>
      </x:c>
    </x:row>
    <x:row r="72">
      <x:c r="A72" s="106" t="n">
        <x:v>46141</x:v>
      </x:c>
      <x:c r="B72" s="107" t="str">
        <x:v>Wed</x:v>
      </x:c>
      <x:c r="C72" s="108" t="n">
        <x:v>46113</x:v>
      </x:c>
      <x:c r="D72" s="109" t="n">
        <x:v>46139</x:v>
      </x:c>
      <x:c r="E72" s="110" t="n">
        <x:v>3</x:v>
      </x:c>
      <x:c r="F72" s="110" t="n">
        <x:v>5</x:v>
      </x:c>
      <x:c r="G72" s="110" t="n">
        <x:v>0</x:v>
      </x:c>
      <x:c r="H72" s="111" t="n">
        <x:f>E72+F72-G72</x:f>
        <x:v>8</x:v>
      </x:c>
      <x:c r="I72" s="111" t="n">
        <x:f>SUMIFS($H$6:H72,$D$6:D72,D72)-H72</x:f>
        <x:v>16</x:v>
      </x:c>
      <x:c r="J72" s="111" t="n">
        <x:f>MIN(H72,MAX(0,40-I72))</x:f>
        <x:v>8</x:v>
      </x:c>
      <x:c r="K72" s="111" t="n">
        <x:f>H72-J72</x:f>
        <x:v>0</x:v>
      </x:c>
      <x:c r="L72" s="112" t="n">
        <x:f>J72*Reconciliation!$B$10</x:f>
        <x:v>200</x:v>
      </x:c>
      <x:c r="M72" s="112" t="n">
        <x:f>K72*Reconciliation!$B$10*1.5</x:f>
        <x:v>0</x:v>
      </x:c>
      <x:c r="N72" s="112" t="n">
        <x:f>L72+M72</x:f>
        <x:v>200</x:v>
      </x:c>
      <x:c r="O72" s="113" t="str">
        <x:v>Hypothetical planning/setup before 4 PM; instruction assumed 4–9 PM</x:v>
      </x:c>
    </x:row>
    <x:row r="73">
      <x:c r="A73" s="106" t="n">
        <x:v>46142</x:v>
      </x:c>
      <x:c r="B73" s="107" t="str">
        <x:v>Thu</x:v>
      </x:c>
      <x:c r="C73" s="108" t="n">
        <x:v>46113</x:v>
      </x:c>
      <x:c r="D73" s="109" t="n">
        <x:v>46139</x:v>
      </x:c>
      <x:c r="E73" s="110" t="n">
        <x:v>3</x:v>
      </x:c>
      <x:c r="F73" s="110" t="n">
        <x:v>5</x:v>
      </x:c>
      <x:c r="G73" s="110" t="n">
        <x:v>0</x:v>
      </x:c>
      <x:c r="H73" s="111" t="n">
        <x:f>E73+F73-G73</x:f>
        <x:v>8</x:v>
      </x:c>
      <x:c r="I73" s="111" t="n">
        <x:f>SUMIFS($H$6:H73,$D$6:D73,D73)-H73</x:f>
        <x:v>24</x:v>
      </x:c>
      <x:c r="J73" s="111" t="n">
        <x:f>MIN(H73,MAX(0,40-I73))</x:f>
        <x:v>8</x:v>
      </x:c>
      <x:c r="K73" s="111" t="n">
        <x:f>H73-J73</x:f>
        <x:v>0</x:v>
      </x:c>
      <x:c r="L73" s="112" t="n">
        <x:f>J73*Reconciliation!$B$10</x:f>
        <x:v>200</x:v>
      </x:c>
      <x:c r="M73" s="112" t="n">
        <x:f>K73*Reconciliation!$B$10*1.5</x:f>
        <x:v>0</x:v>
      </x:c>
      <x:c r="N73" s="112" t="n">
        <x:f>L73+M73</x:f>
        <x:v>200</x:v>
      </x:c>
      <x:c r="O73" s="113" t="str">
        <x:v>Hypothetical planning/setup before 4 PM; instruction assumed 4–9 PM</x:v>
      </x:c>
    </x:row>
    <x:row r="74">
      <x:c r="A74" s="106" t="n">
        <x:v>46143</x:v>
      </x:c>
      <x:c r="B74" s="107" t="str">
        <x:v>Fri</x:v>
      </x:c>
      <x:c r="C74" s="108" t="n">
        <x:v>46143</x:v>
      </x:c>
      <x:c r="D74" s="109" t="n">
        <x:v>46139</x:v>
      </x:c>
      <x:c r="E74" s="110" t="n">
        <x:v>3</x:v>
      </x:c>
      <x:c r="F74" s="110" t="n">
        <x:v>5</x:v>
      </x:c>
      <x:c r="G74" s="110" t="n">
        <x:v>0</x:v>
      </x:c>
      <x:c r="H74" s="111" t="n">
        <x:f>E74+F74-G74</x:f>
        <x:v>8</x:v>
      </x:c>
      <x:c r="I74" s="111" t="n">
        <x:f>SUMIFS($H$6:H74,$D$6:D74,D74)-H74</x:f>
        <x:v>32</x:v>
      </x:c>
      <x:c r="J74" s="111" t="n">
        <x:f>MIN(H74,MAX(0,40-I74))</x:f>
        <x:v>8</x:v>
      </x:c>
      <x:c r="K74" s="111" t="n">
        <x:f>H74-J74</x:f>
        <x:v>0</x:v>
      </x:c>
      <x:c r="L74" s="112" t="n">
        <x:f>J74*Reconciliation!$B$10</x:f>
        <x:v>200</x:v>
      </x:c>
      <x:c r="M74" s="112" t="n">
        <x:f>K74*Reconciliation!$B$10*1.5</x:f>
        <x:v>0</x:v>
      </x:c>
      <x:c r="N74" s="112" t="n">
        <x:f>L74+M74</x:f>
        <x:v>200</x:v>
      </x:c>
      <x:c r="O74" s="113" t="str">
        <x:v>Hypothetical planning/setup before 4 PM; instruction assumed 4–9 PM</x:v>
      </x:c>
    </x:row>
    <x:row r="75">
      <x:c r="A75" s="106" t="n">
        <x:v>46146</x:v>
      </x:c>
      <x:c r="B75" s="107" t="str">
        <x:v>Mon</x:v>
      </x:c>
      <x:c r="C75" s="108" t="n">
        <x:v>46143</x:v>
      </x:c>
      <x:c r="D75" s="109" t="n">
        <x:v>46146</x:v>
      </x:c>
      <x:c r="E75" s="110" t="n">
        <x:v>3</x:v>
      </x:c>
      <x:c r="F75" s="110" t="n">
        <x:v>5</x:v>
      </x:c>
      <x:c r="G75" s="110" t="n">
        <x:v>0</x:v>
      </x:c>
      <x:c r="H75" s="111" t="n">
        <x:f>E75+F75-G75</x:f>
        <x:v>8</x:v>
      </x:c>
      <x:c r="I75" s="111" t="n">
        <x:f>SUMIFS($H$6:H75,$D$6:D75,D75)-H75</x:f>
        <x:v>0</x:v>
      </x:c>
      <x:c r="J75" s="111" t="n">
        <x:f>MIN(H75,MAX(0,40-I75))</x:f>
        <x:v>8</x:v>
      </x:c>
      <x:c r="K75" s="111" t="n">
        <x:f>H75-J75</x:f>
        <x:v>0</x:v>
      </x:c>
      <x:c r="L75" s="112" t="n">
        <x:f>J75*Reconciliation!$B$10</x:f>
        <x:v>200</x:v>
      </x:c>
      <x:c r="M75" s="112" t="n">
        <x:f>K75*Reconciliation!$B$10*1.5</x:f>
        <x:v>0</x:v>
      </x:c>
      <x:c r="N75" s="112" t="n">
        <x:f>L75+M75</x:f>
        <x:v>200</x:v>
      </x:c>
      <x:c r="O75" s="113" t="str">
        <x:v>Hypothetical planning/setup before 4 PM; instruction assumed 4–9 PM</x:v>
      </x:c>
    </x:row>
    <x:row r="76">
      <x:c r="A76" s="106" t="n">
        <x:v>46147</x:v>
      </x:c>
      <x:c r="B76" s="107" t="str">
        <x:v>Tue</x:v>
      </x:c>
      <x:c r="C76" s="108" t="n">
        <x:v>46143</x:v>
      </x:c>
      <x:c r="D76" s="109" t="n">
        <x:v>46146</x:v>
      </x:c>
      <x:c r="E76" s="110" t="n">
        <x:v>3</x:v>
      </x:c>
      <x:c r="F76" s="110" t="n">
        <x:v>5</x:v>
      </x:c>
      <x:c r="G76" s="110" t="n">
        <x:v>0</x:v>
      </x:c>
      <x:c r="H76" s="111" t="n">
        <x:f>E76+F76-G76</x:f>
        <x:v>8</x:v>
      </x:c>
      <x:c r="I76" s="111" t="n">
        <x:f>SUMIFS($H$6:H76,$D$6:D76,D76)-H76</x:f>
        <x:v>8</x:v>
      </x:c>
      <x:c r="J76" s="111" t="n">
        <x:f>MIN(H76,MAX(0,40-I76))</x:f>
        <x:v>8</x:v>
      </x:c>
      <x:c r="K76" s="111" t="n">
        <x:f>H76-J76</x:f>
        <x:v>0</x:v>
      </x:c>
      <x:c r="L76" s="112" t="n">
        <x:f>J76*Reconciliation!$B$10</x:f>
        <x:v>200</x:v>
      </x:c>
      <x:c r="M76" s="112" t="n">
        <x:f>K76*Reconciliation!$B$10*1.5</x:f>
        <x:v>0</x:v>
      </x:c>
      <x:c r="N76" s="112" t="n">
        <x:f>L76+M76</x:f>
        <x:v>200</x:v>
      </x:c>
      <x:c r="O76" s="113" t="str">
        <x:v>Hypothetical planning/setup before 4 PM; instruction assumed 4–9 PM</x:v>
      </x:c>
    </x:row>
    <x:row r="77">
      <x:c r="A77" s="106" t="n">
        <x:v>46148</x:v>
      </x:c>
      <x:c r="B77" s="107" t="str">
        <x:v>Wed</x:v>
      </x:c>
      <x:c r="C77" s="108" t="n">
        <x:v>46143</x:v>
      </x:c>
      <x:c r="D77" s="109" t="n">
        <x:v>46146</x:v>
      </x:c>
      <x:c r="E77" s="110" t="n">
        <x:v>3</x:v>
      </x:c>
      <x:c r="F77" s="110" t="n">
        <x:v>5</x:v>
      </x:c>
      <x:c r="G77" s="110" t="n">
        <x:v>0</x:v>
      </x:c>
      <x:c r="H77" s="111" t="n">
        <x:f>E77+F77-G77</x:f>
        <x:v>8</x:v>
      </x:c>
      <x:c r="I77" s="111" t="n">
        <x:f>SUMIFS($H$6:H77,$D$6:D77,D77)-H77</x:f>
        <x:v>16</x:v>
      </x:c>
      <x:c r="J77" s="111" t="n">
        <x:f>MIN(H77,MAX(0,40-I77))</x:f>
        <x:v>8</x:v>
      </x:c>
      <x:c r="K77" s="111" t="n">
        <x:f>H77-J77</x:f>
        <x:v>0</x:v>
      </x:c>
      <x:c r="L77" s="112" t="n">
        <x:f>J77*Reconciliation!$B$10</x:f>
        <x:v>200</x:v>
      </x:c>
      <x:c r="M77" s="112" t="n">
        <x:f>K77*Reconciliation!$B$10*1.5</x:f>
        <x:v>0</x:v>
      </x:c>
      <x:c r="N77" s="112" t="n">
        <x:f>L77+M77</x:f>
        <x:v>200</x:v>
      </x:c>
      <x:c r="O77" s="113" t="str">
        <x:v>Hypothetical planning/setup before 4 PM; instruction assumed 4–9 PM</x:v>
      </x:c>
    </x:row>
    <x:row r="78">
      <x:c r="A78" s="106" t="n">
        <x:v>46149</x:v>
      </x:c>
      <x:c r="B78" s="107" t="str">
        <x:v>Thu</x:v>
      </x:c>
      <x:c r="C78" s="108" t="n">
        <x:v>46143</x:v>
      </x:c>
      <x:c r="D78" s="109" t="n">
        <x:v>46146</x:v>
      </x:c>
      <x:c r="E78" s="110" t="n">
        <x:v>3</x:v>
      </x:c>
      <x:c r="F78" s="110" t="n">
        <x:v>5</x:v>
      </x:c>
      <x:c r="G78" s="110" t="n">
        <x:v>0</x:v>
      </x:c>
      <x:c r="H78" s="111" t="n">
        <x:f>E78+F78-G78</x:f>
        <x:v>8</x:v>
      </x:c>
      <x:c r="I78" s="111" t="n">
        <x:f>SUMIFS($H$6:H78,$D$6:D78,D78)-H78</x:f>
        <x:v>24</x:v>
      </x:c>
      <x:c r="J78" s="111" t="n">
        <x:f>MIN(H78,MAX(0,40-I78))</x:f>
        <x:v>8</x:v>
      </x:c>
      <x:c r="K78" s="111" t="n">
        <x:f>H78-J78</x:f>
        <x:v>0</x:v>
      </x:c>
      <x:c r="L78" s="112" t="n">
        <x:f>J78*Reconciliation!$B$10</x:f>
        <x:v>200</x:v>
      </x:c>
      <x:c r="M78" s="112" t="n">
        <x:f>K78*Reconciliation!$B$10*1.5</x:f>
        <x:v>0</x:v>
      </x:c>
      <x:c r="N78" s="112" t="n">
        <x:f>L78+M78</x:f>
        <x:v>200</x:v>
      </x:c>
      <x:c r="O78" s="113" t="str">
        <x:v>Hypothetical planning/setup before 4 PM; instruction assumed 4–9 PM</x:v>
      </x:c>
    </x:row>
    <x:row r="79">
      <x:c r="A79" s="106" t="n">
        <x:v>46150</x:v>
      </x:c>
      <x:c r="B79" s="107" t="str">
        <x:v>Fri</x:v>
      </x:c>
      <x:c r="C79" s="108" t="n">
        <x:v>46143</x:v>
      </x:c>
      <x:c r="D79" s="109" t="n">
        <x:v>46146</x:v>
      </x:c>
      <x:c r="E79" s="110" t="n">
        <x:v>3</x:v>
      </x:c>
      <x:c r="F79" s="110" t="n">
        <x:v>5</x:v>
      </x:c>
      <x:c r="G79" s="110" t="n">
        <x:v>0</x:v>
      </x:c>
      <x:c r="H79" s="111" t="n">
        <x:f>E79+F79-G79</x:f>
        <x:v>8</x:v>
      </x:c>
      <x:c r="I79" s="111" t="n">
        <x:f>SUMIFS($H$6:H79,$D$6:D79,D79)-H79</x:f>
        <x:v>32</x:v>
      </x:c>
      <x:c r="J79" s="111" t="n">
        <x:f>MIN(H79,MAX(0,40-I79))</x:f>
        <x:v>8</x:v>
      </x:c>
      <x:c r="K79" s="111" t="n">
        <x:f>H79-J79</x:f>
        <x:v>0</x:v>
      </x:c>
      <x:c r="L79" s="112" t="n">
        <x:f>J79*Reconciliation!$B$10</x:f>
        <x:v>200</x:v>
      </x:c>
      <x:c r="M79" s="112" t="n">
        <x:f>K79*Reconciliation!$B$10*1.5</x:f>
        <x:v>0</x:v>
      </x:c>
      <x:c r="N79" s="112" t="n">
        <x:f>L79+M79</x:f>
        <x:v>200</x:v>
      </x:c>
      <x:c r="O79" s="113" t="str">
        <x:v>Hypothetical planning/setup before 4 PM; instruction assumed 4–9 PM</x:v>
      </x:c>
    </x:row>
    <x:row r="80">
      <x:c r="A80" s="106" t="n">
        <x:v>46153</x:v>
      </x:c>
      <x:c r="B80" s="107" t="str">
        <x:v>Mon</x:v>
      </x:c>
      <x:c r="C80" s="108" t="n">
        <x:v>46143</x:v>
      </x:c>
      <x:c r="D80" s="109" t="n">
        <x:v>46153</x:v>
      </x:c>
      <x:c r="E80" s="110" t="n">
        <x:v>3</x:v>
      </x:c>
      <x:c r="F80" s="110" t="n">
        <x:v>5</x:v>
      </x:c>
      <x:c r="G80" s="110" t="n">
        <x:v>0</x:v>
      </x:c>
      <x:c r="H80" s="111" t="n">
        <x:f>E80+F80-G80</x:f>
        <x:v>8</x:v>
      </x:c>
      <x:c r="I80" s="111" t="n">
        <x:f>SUMIFS($H$6:H80,$D$6:D80,D80)-H80</x:f>
        <x:v>0</x:v>
      </x:c>
      <x:c r="J80" s="111" t="n">
        <x:f>MIN(H80,MAX(0,40-I80))</x:f>
        <x:v>8</x:v>
      </x:c>
      <x:c r="K80" s="111" t="n">
        <x:f>H80-J80</x:f>
        <x:v>0</x:v>
      </x:c>
      <x:c r="L80" s="112" t="n">
        <x:f>J80*Reconciliation!$B$10</x:f>
        <x:v>200</x:v>
      </x:c>
      <x:c r="M80" s="112" t="n">
        <x:f>K80*Reconciliation!$B$10*1.5</x:f>
        <x:v>0</x:v>
      </x:c>
      <x:c r="N80" s="112" t="n">
        <x:f>L80+M80</x:f>
        <x:v>200</x:v>
      </x:c>
      <x:c r="O80" s="113" t="str">
        <x:v>Hypothetical planning/setup before 4 PM; instruction assumed 4–9 PM</x:v>
      </x:c>
    </x:row>
    <x:row r="81">
      <x:c r="A81" s="106" t="n">
        <x:v>46154</x:v>
      </x:c>
      <x:c r="B81" s="107" t="str">
        <x:v>Tue</x:v>
      </x:c>
      <x:c r="C81" s="108" t="n">
        <x:v>46143</x:v>
      </x:c>
      <x:c r="D81" s="109" t="n">
        <x:v>46153</x:v>
      </x:c>
      <x:c r="E81" s="110" t="n">
        <x:v>3</x:v>
      </x:c>
      <x:c r="F81" s="110" t="n">
        <x:v>5</x:v>
      </x:c>
      <x:c r="G81" s="110" t="n">
        <x:v>0</x:v>
      </x:c>
      <x:c r="H81" s="111" t="n">
        <x:f>E81+F81-G81</x:f>
        <x:v>8</x:v>
      </x:c>
      <x:c r="I81" s="111" t="n">
        <x:f>SUMIFS($H$6:H81,$D$6:D81,D81)-H81</x:f>
        <x:v>8</x:v>
      </x:c>
      <x:c r="J81" s="111" t="n">
        <x:f>MIN(H81,MAX(0,40-I81))</x:f>
        <x:v>8</x:v>
      </x:c>
      <x:c r="K81" s="111" t="n">
        <x:f>H81-J81</x:f>
        <x:v>0</x:v>
      </x:c>
      <x:c r="L81" s="112" t="n">
        <x:f>J81*Reconciliation!$B$10</x:f>
        <x:v>200</x:v>
      </x:c>
      <x:c r="M81" s="112" t="n">
        <x:f>K81*Reconciliation!$B$10*1.5</x:f>
        <x:v>0</x:v>
      </x:c>
      <x:c r="N81" s="112" t="n">
        <x:f>L81+M81</x:f>
        <x:v>200</x:v>
      </x:c>
      <x:c r="O81" s="113" t="str">
        <x:v>Hypothetical planning/setup before 4 PM; instruction assumed 4–9 PM</x:v>
      </x:c>
    </x:row>
    <x:row r="82">
      <x:c r="A82" s="106" t="n">
        <x:v>46155</x:v>
      </x:c>
      <x:c r="B82" s="107" t="str">
        <x:v>Wed</x:v>
      </x:c>
      <x:c r="C82" s="108" t="n">
        <x:v>46143</x:v>
      </x:c>
      <x:c r="D82" s="109" t="n">
        <x:v>46153</x:v>
      </x:c>
      <x:c r="E82" s="110" t="n">
        <x:v>3</x:v>
      </x:c>
      <x:c r="F82" s="110" t="n">
        <x:v>5</x:v>
      </x:c>
      <x:c r="G82" s="110" t="n">
        <x:v>0</x:v>
      </x:c>
      <x:c r="H82" s="111" t="n">
        <x:f>E82+F82-G82</x:f>
        <x:v>8</x:v>
      </x:c>
      <x:c r="I82" s="111" t="n">
        <x:f>SUMIFS($H$6:H82,$D$6:D82,D82)-H82</x:f>
        <x:v>16</x:v>
      </x:c>
      <x:c r="J82" s="111" t="n">
        <x:f>MIN(H82,MAX(0,40-I82))</x:f>
        <x:v>8</x:v>
      </x:c>
      <x:c r="K82" s="111" t="n">
        <x:f>H82-J82</x:f>
        <x:v>0</x:v>
      </x:c>
      <x:c r="L82" s="112" t="n">
        <x:f>J82*Reconciliation!$B$10</x:f>
        <x:v>200</x:v>
      </x:c>
      <x:c r="M82" s="112" t="n">
        <x:f>K82*Reconciliation!$B$10*1.5</x:f>
        <x:v>0</x:v>
      </x:c>
      <x:c r="N82" s="112" t="n">
        <x:f>L82+M82</x:f>
        <x:v>200</x:v>
      </x:c>
      <x:c r="O82" s="113" t="str">
        <x:v>Hypothetical planning/setup before 4 PM; instruction assumed 4–9 PM</x:v>
      </x:c>
    </x:row>
    <x:row r="83">
      <x:c r="A83" s="106" t="n">
        <x:v>46156</x:v>
      </x:c>
      <x:c r="B83" s="107" t="str">
        <x:v>Thu</x:v>
      </x:c>
      <x:c r="C83" s="108" t="n">
        <x:v>46143</x:v>
      </x:c>
      <x:c r="D83" s="109" t="n">
        <x:v>46153</x:v>
      </x:c>
      <x:c r="E83" s="110" t="n">
        <x:v>2.75</x:v>
      </x:c>
      <x:c r="F83" s="110" t="n">
        <x:v>5</x:v>
      </x:c>
      <x:c r="G83" s="110" t="n">
        <x:v>0</x:v>
      </x:c>
      <x:c r="H83" s="111" t="n">
        <x:f>E83+F83-G83</x:f>
        <x:v>7.75</x:v>
      </x:c>
      <x:c r="I83" s="111" t="n">
        <x:f>SUMIFS($H$6:H83,$D$6:D83,D83)-H83</x:f>
        <x:v>24</x:v>
      </x:c>
      <x:c r="J83" s="111" t="n">
        <x:f>MIN(H83,MAX(0,40-I83))</x:f>
        <x:v>7.75</x:v>
      </x:c>
      <x:c r="K83" s="111" t="n">
        <x:f>H83-J83</x:f>
        <x:v>0</x:v>
      </x:c>
      <x:c r="L83" s="112" t="n">
        <x:f>J83*Reconciliation!$B$10</x:f>
        <x:v>193.75</x:v>
      </x:c>
      <x:c r="M83" s="112" t="n">
        <x:f>K83*Reconciliation!$B$10*1.5</x:f>
        <x:v>0</x:v>
      </x:c>
      <x:c r="N83" s="112" t="n">
        <x:f>L83+M83</x:f>
        <x:v>193.75</x:v>
      </x:c>
      <x:c r="O83" s="113" t="str">
        <x:v>Hypothetical planning/setup before 4 PM; instruction assumed 4–9 PM</x:v>
      </x:c>
    </x:row>
    <x:row r="84">
      <x:c r="A84" s="106" t="n">
        <x:v>46157</x:v>
      </x:c>
      <x:c r="B84" s="107" t="str">
        <x:v>Fri</x:v>
      </x:c>
      <x:c r="C84" s="108" t="n">
        <x:v>46143</x:v>
      </x:c>
      <x:c r="D84" s="109" t="n">
        <x:v>46153</x:v>
      </x:c>
      <x:c r="E84" s="110" t="n">
        <x:v>2.75</x:v>
      </x:c>
      <x:c r="F84" s="110" t="n">
        <x:v>5</x:v>
      </x:c>
      <x:c r="G84" s="110" t="n">
        <x:v>0</x:v>
      </x:c>
      <x:c r="H84" s="111" t="n">
        <x:f>E84+F84-G84</x:f>
        <x:v>7.75</x:v>
      </x:c>
      <x:c r="I84" s="111" t="n">
        <x:f>SUMIFS($H$6:H84,$D$6:D84,D84)-H84</x:f>
        <x:v>31.75</x:v>
      </x:c>
      <x:c r="J84" s="111" t="n">
        <x:f>MIN(H84,MAX(0,40-I84))</x:f>
        <x:v>7.75</x:v>
      </x:c>
      <x:c r="K84" s="111" t="n">
        <x:f>H84-J84</x:f>
        <x:v>0</x:v>
      </x:c>
      <x:c r="L84" s="112" t="n">
        <x:f>J84*Reconciliation!$B$10</x:f>
        <x:v>193.75</x:v>
      </x:c>
      <x:c r="M84" s="112" t="n">
        <x:f>K84*Reconciliation!$B$10*1.5</x:f>
        <x:v>0</x:v>
      </x:c>
      <x:c r="N84" s="112" t="n">
        <x:f>L84+M84</x:f>
        <x:v>193.75</x:v>
      </x:c>
      <x:c r="O84" s="113" t="str">
        <x:v>Hypothetical planning/setup before 4 PM; instruction assumed 4–9 PM</x:v>
      </x:c>
    </x:row>
    <x:row r="85">
      <x:c r="A85" s="106" t="n">
        <x:v>46160</x:v>
      </x:c>
      <x:c r="B85" s="107" t="str">
        <x:v>Mon</x:v>
      </x:c>
      <x:c r="C85" s="108" t="n">
        <x:v>46143</x:v>
      </x:c>
      <x:c r="D85" s="109" t="n">
        <x:v>46160</x:v>
      </x:c>
      <x:c r="E85" s="110" t="n">
        <x:v>2.75</x:v>
      </x:c>
      <x:c r="F85" s="110" t="n">
        <x:v>5</x:v>
      </x:c>
      <x:c r="G85" s="110" t="n">
        <x:v>0</x:v>
      </x:c>
      <x:c r="H85" s="111" t="n">
        <x:f>E85+F85-G85</x:f>
        <x:v>7.75</x:v>
      </x:c>
      <x:c r="I85" s="111" t="n">
        <x:f>SUMIFS($H$6:H85,$D$6:D85,D85)-H85</x:f>
        <x:v>0</x:v>
      </x:c>
      <x:c r="J85" s="111" t="n">
        <x:f>MIN(H85,MAX(0,40-I85))</x:f>
        <x:v>7.75</x:v>
      </x:c>
      <x:c r="K85" s="111" t="n">
        <x:f>H85-J85</x:f>
        <x:v>0</x:v>
      </x:c>
      <x:c r="L85" s="112" t="n">
        <x:f>J85*Reconciliation!$B$10</x:f>
        <x:v>193.75</x:v>
      </x:c>
      <x:c r="M85" s="112" t="n">
        <x:f>K85*Reconciliation!$B$10*1.5</x:f>
        <x:v>0</x:v>
      </x:c>
      <x:c r="N85" s="112" t="n">
        <x:f>L85+M85</x:f>
        <x:v>193.75</x:v>
      </x:c>
      <x:c r="O85" s="113" t="str">
        <x:v>Hypothetical planning/setup before 4 PM; instruction assumed 4–9 PM</x:v>
      </x:c>
    </x:row>
    <x:row r="86">
      <x:c r="A86" s="106" t="n">
        <x:v>46161</x:v>
      </x:c>
      <x:c r="B86" s="107" t="str">
        <x:v>Tue</x:v>
      </x:c>
      <x:c r="C86" s="108" t="n">
        <x:v>46143</x:v>
      </x:c>
      <x:c r="D86" s="109" t="n">
        <x:v>46160</x:v>
      </x:c>
      <x:c r="E86" s="110" t="n">
        <x:v>2.75</x:v>
      </x:c>
      <x:c r="F86" s="110" t="n">
        <x:v>5</x:v>
      </x:c>
      <x:c r="G86" s="110" t="n">
        <x:v>0</x:v>
      </x:c>
      <x:c r="H86" s="111" t="n">
        <x:f>E86+F86-G86</x:f>
        <x:v>7.75</x:v>
      </x:c>
      <x:c r="I86" s="111" t="n">
        <x:f>SUMIFS($H$6:H86,$D$6:D86,D86)-H86</x:f>
        <x:v>7.75</x:v>
      </x:c>
      <x:c r="J86" s="111" t="n">
        <x:f>MIN(H86,MAX(0,40-I86))</x:f>
        <x:v>7.75</x:v>
      </x:c>
      <x:c r="K86" s="111" t="n">
        <x:f>H86-J86</x:f>
        <x:v>0</x:v>
      </x:c>
      <x:c r="L86" s="112" t="n">
        <x:f>J86*Reconciliation!$B$10</x:f>
        <x:v>193.75</x:v>
      </x:c>
      <x:c r="M86" s="112" t="n">
        <x:f>K86*Reconciliation!$B$10*1.5</x:f>
        <x:v>0</x:v>
      </x:c>
      <x:c r="N86" s="112" t="n">
        <x:f>L86+M86</x:f>
        <x:v>193.75</x:v>
      </x:c>
      <x:c r="O86" s="113" t="str">
        <x:v>Hypothetical planning/setup before 4 PM; instruction assumed 4–9 PM</x:v>
      </x:c>
    </x:row>
    <x:row r="87">
      <x:c r="A87" s="106" t="n">
        <x:v>46162</x:v>
      </x:c>
      <x:c r="B87" s="107" t="str">
        <x:v>Wed</x:v>
      </x:c>
      <x:c r="C87" s="108" t="n">
        <x:v>46143</x:v>
      </x:c>
      <x:c r="D87" s="109" t="n">
        <x:v>46160</x:v>
      </x:c>
      <x:c r="E87" s="110" t="n">
        <x:v>2.75</x:v>
      </x:c>
      <x:c r="F87" s="110" t="n">
        <x:v>5</x:v>
      </x:c>
      <x:c r="G87" s="110" t="n">
        <x:v>0</x:v>
      </x:c>
      <x:c r="H87" s="111" t="n">
        <x:f>E87+F87-G87</x:f>
        <x:v>7.75</x:v>
      </x:c>
      <x:c r="I87" s="111" t="n">
        <x:f>SUMIFS($H$6:H87,$D$6:D87,D87)-H87</x:f>
        <x:v>15.5</x:v>
      </x:c>
      <x:c r="J87" s="111" t="n">
        <x:f>MIN(H87,MAX(0,40-I87))</x:f>
        <x:v>7.75</x:v>
      </x:c>
      <x:c r="K87" s="111" t="n">
        <x:f>H87-J87</x:f>
        <x:v>0</x:v>
      </x:c>
      <x:c r="L87" s="112" t="n">
        <x:f>J87*Reconciliation!$B$10</x:f>
        <x:v>193.75</x:v>
      </x:c>
      <x:c r="M87" s="112" t="n">
        <x:f>K87*Reconciliation!$B$10*1.5</x:f>
        <x:v>0</x:v>
      </x:c>
      <x:c r="N87" s="112" t="n">
        <x:f>L87+M87</x:f>
        <x:v>193.75</x:v>
      </x:c>
      <x:c r="O87" s="113" t="str">
        <x:v>Hypothetical planning/setup before 4 PM; instruction assumed 4–9 PM</x:v>
      </x:c>
    </x:row>
    <x:row r="88">
      <x:c r="A88" s="106" t="n">
        <x:v>46163</x:v>
      </x:c>
      <x:c r="B88" s="107" t="str">
        <x:v>Thu</x:v>
      </x:c>
      <x:c r="C88" s="108" t="n">
        <x:v>46143</x:v>
      </x:c>
      <x:c r="D88" s="109" t="n">
        <x:v>46160</x:v>
      </x:c>
      <x:c r="E88" s="110" t="n">
        <x:v>2.75</x:v>
      </x:c>
      <x:c r="F88" s="110" t="n">
        <x:v>5</x:v>
      </x:c>
      <x:c r="G88" s="110" t="n">
        <x:v>0</x:v>
      </x:c>
      <x:c r="H88" s="111" t="n">
        <x:f>E88+F88-G88</x:f>
        <x:v>7.75</x:v>
      </x:c>
      <x:c r="I88" s="111" t="n">
        <x:f>SUMIFS($H$6:H88,$D$6:D88,D88)-H88</x:f>
        <x:v>23.25</x:v>
      </x:c>
      <x:c r="J88" s="111" t="n">
        <x:f>MIN(H88,MAX(0,40-I88))</x:f>
        <x:v>7.75</x:v>
      </x:c>
      <x:c r="K88" s="111" t="n">
        <x:f>H88-J88</x:f>
        <x:v>0</x:v>
      </x:c>
      <x:c r="L88" s="112" t="n">
        <x:f>J88*Reconciliation!$B$10</x:f>
        <x:v>193.75</x:v>
      </x:c>
      <x:c r="M88" s="112" t="n">
        <x:f>K88*Reconciliation!$B$10*1.5</x:f>
        <x:v>0</x:v>
      </x:c>
      <x:c r="N88" s="112" t="n">
        <x:f>L88+M88</x:f>
        <x:v>193.75</x:v>
      </x:c>
      <x:c r="O88" s="113" t="str">
        <x:v>Hypothetical planning/setup before 4 PM; instruction assumed 4–9 PM</x:v>
      </x:c>
    </x:row>
    <x:row r="89">
      <x:c r="A89" s="106" t="n">
        <x:v>46164</x:v>
      </x:c>
      <x:c r="B89" s="107" t="str">
        <x:v>Fri</x:v>
      </x:c>
      <x:c r="C89" s="108" t="n">
        <x:v>46143</x:v>
      </x:c>
      <x:c r="D89" s="109" t="n">
        <x:v>46160</x:v>
      </x:c>
      <x:c r="E89" s="110" t="n">
        <x:v>2.75</x:v>
      </x:c>
      <x:c r="F89" s="110" t="n">
        <x:v>5</x:v>
      </x:c>
      <x:c r="G89" s="110" t="n">
        <x:v>0</x:v>
      </x:c>
      <x:c r="H89" s="111" t="n">
        <x:f>E89+F89-G89</x:f>
        <x:v>7.75</x:v>
      </x:c>
      <x:c r="I89" s="111" t="n">
        <x:f>SUMIFS($H$6:H89,$D$6:D89,D89)-H89</x:f>
        <x:v>31</x:v>
      </x:c>
      <x:c r="J89" s="111" t="n">
        <x:f>MIN(H89,MAX(0,40-I89))</x:f>
        <x:v>7.75</x:v>
      </x:c>
      <x:c r="K89" s="111" t="n">
        <x:f>H89-J89</x:f>
        <x:v>0</x:v>
      </x:c>
      <x:c r="L89" s="112" t="n">
        <x:f>J89*Reconciliation!$B$10</x:f>
        <x:v>193.75</x:v>
      </x:c>
      <x:c r="M89" s="112" t="n">
        <x:f>K89*Reconciliation!$B$10*1.5</x:f>
        <x:v>0</x:v>
      </x:c>
      <x:c r="N89" s="112" t="n">
        <x:f>L89+M89</x:f>
        <x:v>193.75</x:v>
      </x:c>
      <x:c r="O89" s="113" t="str">
        <x:v>Hypothetical planning/setup before 4 PM; instruction assumed 4–9 PM</x:v>
      </x:c>
    </x:row>
    <x:row r="90">
      <x:c r="A90" s="106" t="n">
        <x:v>46167</x:v>
      </x:c>
      <x:c r="B90" s="107" t="str">
        <x:v>Mon</x:v>
      </x:c>
      <x:c r="C90" s="108" t="n">
        <x:v>46143</x:v>
      </x:c>
      <x:c r="D90" s="109" t="n">
        <x:v>46167</x:v>
      </x:c>
      <x:c r="E90" s="110" t="n">
        <x:v>2.75</x:v>
      </x:c>
      <x:c r="F90" s="110" t="n">
        <x:v>5</x:v>
      </x:c>
      <x:c r="G90" s="110" t="n">
        <x:v>0</x:v>
      </x:c>
      <x:c r="H90" s="111" t="n">
        <x:f>E90+F90-G90</x:f>
        <x:v>7.75</x:v>
      </x:c>
      <x:c r="I90" s="111" t="n">
        <x:f>SUMIFS($H$6:H90,$D$6:D90,D90)-H90</x:f>
        <x:v>0</x:v>
      </x:c>
      <x:c r="J90" s="111" t="n">
        <x:f>MIN(H90,MAX(0,40-I90))</x:f>
        <x:v>7.75</x:v>
      </x:c>
      <x:c r="K90" s="111" t="n">
        <x:f>H90-J90</x:f>
        <x:v>0</x:v>
      </x:c>
      <x:c r="L90" s="112" t="n">
        <x:f>J90*Reconciliation!$B$10</x:f>
        <x:v>193.75</x:v>
      </x:c>
      <x:c r="M90" s="112" t="n">
        <x:f>K90*Reconciliation!$B$10*1.5</x:f>
        <x:v>0</x:v>
      </x:c>
      <x:c r="N90" s="112" t="n">
        <x:f>L90+M90</x:f>
        <x:v>193.75</x:v>
      </x:c>
      <x:c r="O90" s="113" t="str">
        <x:v>Hypothetical planning/setup before 4 PM; instruction assumed 4–9 PM</x:v>
      </x:c>
    </x:row>
    <x:row r="91">
      <x:c r="A91" s="106" t="n">
        <x:v>46168</x:v>
      </x:c>
      <x:c r="B91" s="107" t="str">
        <x:v>Tue</x:v>
      </x:c>
      <x:c r="C91" s="108" t="n">
        <x:v>46143</x:v>
      </x:c>
      <x:c r="D91" s="109" t="n">
        <x:v>46167</x:v>
      </x:c>
      <x:c r="E91" s="110" t="n">
        <x:v>2.75</x:v>
      </x:c>
      <x:c r="F91" s="110" t="n">
        <x:v>5</x:v>
      </x:c>
      <x:c r="G91" s="110" t="n">
        <x:v>0</x:v>
      </x:c>
      <x:c r="H91" s="111" t="n">
        <x:f>E91+F91-G91</x:f>
        <x:v>7.75</x:v>
      </x:c>
      <x:c r="I91" s="111" t="n">
        <x:f>SUMIFS($H$6:H91,$D$6:D91,D91)-H91</x:f>
        <x:v>7.75</x:v>
      </x:c>
      <x:c r="J91" s="111" t="n">
        <x:f>MIN(H91,MAX(0,40-I91))</x:f>
        <x:v>7.75</x:v>
      </x:c>
      <x:c r="K91" s="111" t="n">
        <x:f>H91-J91</x:f>
        <x:v>0</x:v>
      </x:c>
      <x:c r="L91" s="112" t="n">
        <x:f>J91*Reconciliation!$B$10</x:f>
        <x:v>193.75</x:v>
      </x:c>
      <x:c r="M91" s="112" t="n">
        <x:f>K91*Reconciliation!$B$10*1.5</x:f>
        <x:v>0</x:v>
      </x:c>
      <x:c r="N91" s="112" t="n">
        <x:f>L91+M91</x:f>
        <x:v>193.75</x:v>
      </x:c>
      <x:c r="O91" s="113" t="str">
        <x:v>Hypothetical planning/setup before 4 PM; instruction assumed 4–9 PM</x:v>
      </x:c>
    </x:row>
    <x:row r="92">
      <x:c r="A92" s="106" t="n">
        <x:v>46169</x:v>
      </x:c>
      <x:c r="B92" s="107" t="str">
        <x:v>Wed</x:v>
      </x:c>
      <x:c r="C92" s="108" t="n">
        <x:v>46143</x:v>
      </x:c>
      <x:c r="D92" s="109" t="n">
        <x:v>46167</x:v>
      </x:c>
      <x:c r="E92" s="110" t="n">
        <x:v>2.75</x:v>
      </x:c>
      <x:c r="F92" s="110" t="n">
        <x:v>5</x:v>
      </x:c>
      <x:c r="G92" s="110" t="n">
        <x:v>0</x:v>
      </x:c>
      <x:c r="H92" s="111" t="n">
        <x:f>E92+F92-G92</x:f>
        <x:v>7.75</x:v>
      </x:c>
      <x:c r="I92" s="111" t="n">
        <x:f>SUMIFS($H$6:H92,$D$6:D92,D92)-H92</x:f>
        <x:v>15.5</x:v>
      </x:c>
      <x:c r="J92" s="111" t="n">
        <x:f>MIN(H92,MAX(0,40-I92))</x:f>
        <x:v>7.75</x:v>
      </x:c>
      <x:c r="K92" s="111" t="n">
        <x:f>H92-J92</x:f>
        <x:v>0</x:v>
      </x:c>
      <x:c r="L92" s="112" t="n">
        <x:f>J92*Reconciliation!$B$10</x:f>
        <x:v>193.75</x:v>
      </x:c>
      <x:c r="M92" s="112" t="n">
        <x:f>K92*Reconciliation!$B$10*1.5</x:f>
        <x:v>0</x:v>
      </x:c>
      <x:c r="N92" s="112" t="n">
        <x:f>L92+M92</x:f>
        <x:v>193.75</x:v>
      </x:c>
      <x:c r="O92" s="113" t="str">
        <x:v>Hypothetical planning/setup before 4 PM; instruction assumed 4–9 PM</x:v>
      </x:c>
    </x:row>
    <x:row r="93">
      <x:c r="A93" s="106" t="n">
        <x:v>46170</x:v>
      </x:c>
      <x:c r="B93" s="107" t="str">
        <x:v>Thu</x:v>
      </x:c>
      <x:c r="C93" s="108" t="n">
        <x:v>46143</x:v>
      </x:c>
      <x:c r="D93" s="109" t="n">
        <x:v>46167</x:v>
      </x:c>
      <x:c r="E93" s="110" t="n">
        <x:v>2.75</x:v>
      </x:c>
      <x:c r="F93" s="110" t="n">
        <x:v>5</x:v>
      </x:c>
      <x:c r="G93" s="110" t="n">
        <x:v>0</x:v>
      </x:c>
      <x:c r="H93" s="111" t="n">
        <x:f>E93+F93-G93</x:f>
        <x:v>7.75</x:v>
      </x:c>
      <x:c r="I93" s="111" t="n">
        <x:f>SUMIFS($H$6:H93,$D$6:D93,D93)-H93</x:f>
        <x:v>23.25</x:v>
      </x:c>
      <x:c r="J93" s="111" t="n">
        <x:f>MIN(H93,MAX(0,40-I93))</x:f>
        <x:v>7.75</x:v>
      </x:c>
      <x:c r="K93" s="111" t="n">
        <x:f>H93-J93</x:f>
        <x:v>0</x:v>
      </x:c>
      <x:c r="L93" s="112" t="n">
        <x:f>J93*Reconciliation!$B$10</x:f>
        <x:v>193.75</x:v>
      </x:c>
      <x:c r="M93" s="112" t="n">
        <x:f>K93*Reconciliation!$B$10*1.5</x:f>
        <x:v>0</x:v>
      </x:c>
      <x:c r="N93" s="112" t="n">
        <x:f>L93+M93</x:f>
        <x:v>193.75</x:v>
      </x:c>
      <x:c r="O93" s="113" t="str">
        <x:v>Hypothetical planning/setup before 4 PM; instruction assumed 4–9 PM</x:v>
      </x:c>
    </x:row>
    <x:row r="94">
      <x:c r="A94" s="106" t="n">
        <x:v>46171</x:v>
      </x:c>
      <x:c r="B94" s="107" t="str">
        <x:v>Fri</x:v>
      </x:c>
      <x:c r="C94" s="108" t="n">
        <x:v>46143</x:v>
      </x:c>
      <x:c r="D94" s="109" t="n">
        <x:v>46167</x:v>
      </x:c>
      <x:c r="E94" s="110" t="n">
        <x:v>2.75</x:v>
      </x:c>
      <x:c r="F94" s="110" t="n">
        <x:v>5</x:v>
      </x:c>
      <x:c r="G94" s="110" t="n">
        <x:v>0</x:v>
      </x:c>
      <x:c r="H94" s="111" t="n">
        <x:f>E94+F94-G94</x:f>
        <x:v>7.75</x:v>
      </x:c>
      <x:c r="I94" s="111" t="n">
        <x:f>SUMIFS($H$6:H94,$D$6:D94,D94)-H94</x:f>
        <x:v>31</x:v>
      </x:c>
      <x:c r="J94" s="111" t="n">
        <x:f>MIN(H94,MAX(0,40-I94))</x:f>
        <x:v>7.75</x:v>
      </x:c>
      <x:c r="K94" s="111" t="n">
        <x:f>H94-J94</x:f>
        <x:v>0</x:v>
      </x:c>
      <x:c r="L94" s="112" t="n">
        <x:f>J94*Reconciliation!$B$10</x:f>
        <x:v>193.75</x:v>
      </x:c>
      <x:c r="M94" s="112" t="n">
        <x:f>K94*Reconciliation!$B$10*1.5</x:f>
        <x:v>0</x:v>
      </x:c>
      <x:c r="N94" s="112" t="n">
        <x:f>L94+M94</x:f>
        <x:v>193.75</x:v>
      </x:c>
      <x:c r="O94" s="113" t="str">
        <x:v>Hypothetical planning/setup before 4 PM; instruction assumed 4–9 PM</x:v>
      </x:c>
    </x:row>
    <x:row r="95">
      <x:c r="A95" s="106" t="n">
        <x:v>46174</x:v>
      </x:c>
      <x:c r="B95" s="107" t="str">
        <x:v>Mon</x:v>
      </x:c>
      <x:c r="C95" s="108" t="n">
        <x:v>46174</x:v>
      </x:c>
      <x:c r="D95" s="109" t="n">
        <x:v>46174</x:v>
      </x:c>
      <x:c r="E95" s="110" t="n">
        <x:v>3.75</x:v>
      </x:c>
      <x:c r="F95" s="110" t="n">
        <x:v>5</x:v>
      </x:c>
      <x:c r="G95" s="110" t="n">
        <x:v>0</x:v>
      </x:c>
      <x:c r="H95" s="111" t="n">
        <x:f>E95+F95-G95</x:f>
        <x:v>8.75</x:v>
      </x:c>
      <x:c r="I95" s="111" t="n">
        <x:f>SUMIFS($H$6:H95,$D$6:D95,D95)-H95</x:f>
        <x:v>0</x:v>
      </x:c>
      <x:c r="J95" s="111" t="n">
        <x:f>MIN(H95,MAX(0,40-I95))</x:f>
        <x:v>8.75</x:v>
      </x:c>
      <x:c r="K95" s="111" t="n">
        <x:f>H95-J95</x:f>
        <x:v>0</x:v>
      </x:c>
      <x:c r="L95" s="112" t="n">
        <x:f>J95*Reconciliation!$B$10</x:f>
        <x:v>218.75</x:v>
      </x:c>
      <x:c r="M95" s="112" t="n">
        <x:f>K95*Reconciliation!$B$10*1.5</x:f>
        <x:v>0</x:v>
      </x:c>
      <x:c r="N95" s="112" t="n">
        <x:f>L95+M95</x:f>
        <x:v>218.75</x:v>
      </x:c>
      <x:c r="O95" s="113" t="str">
        <x:v>Hypothetical planning/setup before 4 PM; instruction assumed 4–9 PM</x:v>
      </x:c>
    </x:row>
    <x:row r="96">
      <x:c r="A96" s="106" t="n">
        <x:v>46175</x:v>
      </x:c>
      <x:c r="B96" s="107" t="str">
        <x:v>Tue</x:v>
      </x:c>
      <x:c r="C96" s="108" t="n">
        <x:v>46174</x:v>
      </x:c>
      <x:c r="D96" s="109" t="n">
        <x:v>46174</x:v>
      </x:c>
      <x:c r="E96" s="110" t="n">
        <x:v>3.75</x:v>
      </x:c>
      <x:c r="F96" s="110" t="n">
        <x:v>5</x:v>
      </x:c>
      <x:c r="G96" s="110" t="n">
        <x:v>0</x:v>
      </x:c>
      <x:c r="H96" s="111" t="n">
        <x:f>E96+F96-G96</x:f>
        <x:v>8.75</x:v>
      </x:c>
      <x:c r="I96" s="111" t="n">
        <x:f>SUMIFS($H$6:H96,$D$6:D96,D96)-H96</x:f>
        <x:v>8.75</x:v>
      </x:c>
      <x:c r="J96" s="111" t="n">
        <x:f>MIN(H96,MAX(0,40-I96))</x:f>
        <x:v>8.75</x:v>
      </x:c>
      <x:c r="K96" s="111" t="n">
        <x:f>H96-J96</x:f>
        <x:v>0</x:v>
      </x:c>
      <x:c r="L96" s="112" t="n">
        <x:f>J96*Reconciliation!$B$10</x:f>
        <x:v>218.75</x:v>
      </x:c>
      <x:c r="M96" s="112" t="n">
        <x:f>K96*Reconciliation!$B$10*1.5</x:f>
        <x:v>0</x:v>
      </x:c>
      <x:c r="N96" s="112" t="n">
        <x:f>L96+M96</x:f>
        <x:v>218.75</x:v>
      </x:c>
      <x:c r="O96" s="113" t="str">
        <x:v>Hypothetical planning/setup before 4 PM; instruction assumed 4–9 PM</x:v>
      </x:c>
    </x:row>
    <x:row r="97">
      <x:c r="A97" s="106" t="n">
        <x:v>46176</x:v>
      </x:c>
      <x:c r="B97" s="107" t="str">
        <x:v>Wed</x:v>
      </x:c>
      <x:c r="C97" s="108" t="n">
        <x:v>46174</x:v>
      </x:c>
      <x:c r="D97" s="109" t="n">
        <x:v>46174</x:v>
      </x:c>
      <x:c r="E97" s="110" t="n">
        <x:v>3.75</x:v>
      </x:c>
      <x:c r="F97" s="110" t="n">
        <x:v>5</x:v>
      </x:c>
      <x:c r="G97" s="110" t="n">
        <x:v>0</x:v>
      </x:c>
      <x:c r="H97" s="111" t="n">
        <x:f>E97+F97-G97</x:f>
        <x:v>8.75</x:v>
      </x:c>
      <x:c r="I97" s="111" t="n">
        <x:f>SUMIFS($H$6:H97,$D$6:D97,D97)-H97</x:f>
        <x:v>17.5</x:v>
      </x:c>
      <x:c r="J97" s="111" t="n">
        <x:f>MIN(H97,MAX(0,40-I97))</x:f>
        <x:v>8.75</x:v>
      </x:c>
      <x:c r="K97" s="111" t="n">
        <x:f>H97-J97</x:f>
        <x:v>0</x:v>
      </x:c>
      <x:c r="L97" s="112" t="n">
        <x:f>J97*Reconciliation!$B$10</x:f>
        <x:v>218.75</x:v>
      </x:c>
      <x:c r="M97" s="112" t="n">
        <x:f>K97*Reconciliation!$B$10*1.5</x:f>
        <x:v>0</x:v>
      </x:c>
      <x:c r="N97" s="112" t="n">
        <x:f>L97+M97</x:f>
        <x:v>218.75</x:v>
      </x:c>
      <x:c r="O97" s="113" t="str">
        <x:v>Hypothetical planning/setup before 4 PM; instruction assumed 4–9 PM</x:v>
      </x:c>
    </x:row>
    <x:row r="98">
      <x:c r="A98" s="106" t="n">
        <x:v>46177</x:v>
      </x:c>
      <x:c r="B98" s="107" t="str">
        <x:v>Thu</x:v>
      </x:c>
      <x:c r="C98" s="108" t="n">
        <x:v>46174</x:v>
      </x:c>
      <x:c r="D98" s="109" t="n">
        <x:v>46174</x:v>
      </x:c>
      <x:c r="E98" s="110" t="n">
        <x:v>3.75</x:v>
      </x:c>
      <x:c r="F98" s="110" t="n">
        <x:v>5</x:v>
      </x:c>
      <x:c r="G98" s="110" t="n">
        <x:v>0</x:v>
      </x:c>
      <x:c r="H98" s="111" t="n">
        <x:f>E98+F98-G98</x:f>
        <x:v>8.75</x:v>
      </x:c>
      <x:c r="I98" s="111" t="n">
        <x:f>SUMIFS($H$6:H98,$D$6:D98,D98)-H98</x:f>
        <x:v>26.25</x:v>
      </x:c>
      <x:c r="J98" s="111" t="n">
        <x:f>MIN(H98,MAX(0,40-I98))</x:f>
        <x:v>8.75</x:v>
      </x:c>
      <x:c r="K98" s="111" t="n">
        <x:f>H98-J98</x:f>
        <x:v>0</x:v>
      </x:c>
      <x:c r="L98" s="112" t="n">
        <x:f>J98*Reconciliation!$B$10</x:f>
        <x:v>218.75</x:v>
      </x:c>
      <x:c r="M98" s="112" t="n">
        <x:f>K98*Reconciliation!$B$10*1.5</x:f>
        <x:v>0</x:v>
      </x:c>
      <x:c r="N98" s="112" t="n">
        <x:f>L98+M98</x:f>
        <x:v>218.75</x:v>
      </x:c>
      <x:c r="O98" s="113" t="str">
        <x:v>Hypothetical planning/setup before 4 PM; instruction assumed 4–9 PM</x:v>
      </x:c>
    </x:row>
    <x:row r="99">
      <x:c r="A99" s="106" t="n">
        <x:v>46178</x:v>
      </x:c>
      <x:c r="B99" s="107" t="str">
        <x:v>Fri</x:v>
      </x:c>
      <x:c r="C99" s="108" t="n">
        <x:v>46174</x:v>
      </x:c>
      <x:c r="D99" s="109" t="n">
        <x:v>46174</x:v>
      </x:c>
      <x:c r="E99" s="110" t="n">
        <x:v>3.75</x:v>
      </x:c>
      <x:c r="F99" s="110" t="n">
        <x:v>5</x:v>
      </x:c>
      <x:c r="G99" s="110" t="n">
        <x:v>0</x:v>
      </x:c>
      <x:c r="H99" s="111" t="n">
        <x:f>E99+F99-G99</x:f>
        <x:v>8.75</x:v>
      </x:c>
      <x:c r="I99" s="111" t="n">
        <x:f>SUMIFS($H$6:H99,$D$6:D99,D99)-H99</x:f>
        <x:v>35</x:v>
      </x:c>
      <x:c r="J99" s="111" t="n">
        <x:f>MIN(H99,MAX(0,40-I99))</x:f>
        <x:v>5</x:v>
      </x:c>
      <x:c r="K99" s="111" t="n">
        <x:f>H99-J99</x:f>
        <x:v>3.75</x:v>
      </x:c>
      <x:c r="L99" s="112" t="n">
        <x:f>J99*Reconciliation!$B$10</x:f>
        <x:v>125</x:v>
      </x:c>
      <x:c r="M99" s="112" t="n">
        <x:f>K99*Reconciliation!$B$10*1.5</x:f>
        <x:v>140.625</x:v>
      </x:c>
      <x:c r="N99" s="112" t="n">
        <x:f>L99+M99</x:f>
        <x:v>265.625</x:v>
      </x:c>
      <x:c r="O99" s="113" t="str">
        <x:v>Hypothetical planning/setup before 4 PM; instruction assumed 4–9 PM</x:v>
      </x:c>
    </x:row>
    <x:row r="100">
      <x:c r="A100" s="106" t="n">
        <x:v>46181</x:v>
      </x:c>
      <x:c r="B100" s="107" t="str">
        <x:v>Mon</x:v>
      </x:c>
      <x:c r="C100" s="108" t="n">
        <x:v>46174</x:v>
      </x:c>
      <x:c r="D100" s="109" t="n">
        <x:v>46181</x:v>
      </x:c>
      <x:c r="E100" s="110" t="n">
        <x:v>3.75</x:v>
      </x:c>
      <x:c r="F100" s="110" t="n">
        <x:v>5</x:v>
      </x:c>
      <x:c r="G100" s="110" t="n">
        <x:v>0</x:v>
      </x:c>
      <x:c r="H100" s="111" t="n">
        <x:f>E100+F100-G100</x:f>
        <x:v>8.75</x:v>
      </x:c>
      <x:c r="I100" s="111" t="n">
        <x:f>SUMIFS($H$6:H100,$D$6:D100,D100)-H100</x:f>
        <x:v>0</x:v>
      </x:c>
      <x:c r="J100" s="111" t="n">
        <x:f>MIN(H100,MAX(0,40-I100))</x:f>
        <x:v>8.75</x:v>
      </x:c>
      <x:c r="K100" s="111" t="n">
        <x:f>H100-J100</x:f>
        <x:v>0</x:v>
      </x:c>
      <x:c r="L100" s="112" t="n">
        <x:f>J100*Reconciliation!$B$10</x:f>
        <x:v>218.75</x:v>
      </x:c>
      <x:c r="M100" s="112" t="n">
        <x:f>K100*Reconciliation!$B$10*1.5</x:f>
        <x:v>0</x:v>
      </x:c>
      <x:c r="N100" s="112" t="n">
        <x:f>L100+M100</x:f>
        <x:v>218.75</x:v>
      </x:c>
      <x:c r="O100" s="113" t="str">
        <x:v>Hypothetical planning/setup before 4 PM; instruction assumed 4–9 PM</x:v>
      </x:c>
    </x:row>
    <x:row r="101">
      <x:c r="A101" s="106" t="n">
        <x:v>46182</x:v>
      </x:c>
      <x:c r="B101" s="107" t="str">
        <x:v>Tue</x:v>
      </x:c>
      <x:c r="C101" s="108" t="n">
        <x:v>46174</x:v>
      </x:c>
      <x:c r="D101" s="109" t="n">
        <x:v>46181</x:v>
      </x:c>
      <x:c r="E101" s="110" t="n">
        <x:v>3.75</x:v>
      </x:c>
      <x:c r="F101" s="110" t="n">
        <x:v>5</x:v>
      </x:c>
      <x:c r="G101" s="110" t="n">
        <x:v>0</x:v>
      </x:c>
      <x:c r="H101" s="111" t="n">
        <x:f>E101+F101-G101</x:f>
        <x:v>8.75</x:v>
      </x:c>
      <x:c r="I101" s="111" t="n">
        <x:f>SUMIFS($H$6:H101,$D$6:D101,D101)-H101</x:f>
        <x:v>8.75</x:v>
      </x:c>
      <x:c r="J101" s="111" t="n">
        <x:f>MIN(H101,MAX(0,40-I101))</x:f>
        <x:v>8.75</x:v>
      </x:c>
      <x:c r="K101" s="111" t="n">
        <x:f>H101-J101</x:f>
        <x:v>0</x:v>
      </x:c>
      <x:c r="L101" s="112" t="n">
        <x:f>J101*Reconciliation!$B$10</x:f>
        <x:v>218.75</x:v>
      </x:c>
      <x:c r="M101" s="112" t="n">
        <x:f>K101*Reconciliation!$B$10*1.5</x:f>
        <x:v>0</x:v>
      </x:c>
      <x:c r="N101" s="112" t="n">
        <x:f>L101+M101</x:f>
        <x:v>218.75</x:v>
      </x:c>
      <x:c r="O101" s="113" t="str">
        <x:v>Hypothetical planning/setup before 4 PM; instruction assumed 4–9 PM</x:v>
      </x:c>
    </x:row>
    <x:row r="102">
      <x:c r="A102" s="106" t="n">
        <x:v>46183</x:v>
      </x:c>
      <x:c r="B102" s="107" t="str">
        <x:v>Wed</x:v>
      </x:c>
      <x:c r="C102" s="108" t="n">
        <x:v>46174</x:v>
      </x:c>
      <x:c r="D102" s="109" t="n">
        <x:v>46181</x:v>
      </x:c>
      <x:c r="E102" s="110" t="n">
        <x:v>3.75</x:v>
      </x:c>
      <x:c r="F102" s="110" t="n">
        <x:v>5</x:v>
      </x:c>
      <x:c r="G102" s="110" t="n">
        <x:v>0</x:v>
      </x:c>
      <x:c r="H102" s="111" t="n">
        <x:f>E102+F102-G102</x:f>
        <x:v>8.75</x:v>
      </x:c>
      <x:c r="I102" s="111" t="n">
        <x:f>SUMIFS($H$6:H102,$D$6:D102,D102)-H102</x:f>
        <x:v>17.5</x:v>
      </x:c>
      <x:c r="J102" s="111" t="n">
        <x:f>MIN(H102,MAX(0,40-I102))</x:f>
        <x:v>8.75</x:v>
      </x:c>
      <x:c r="K102" s="111" t="n">
        <x:f>H102-J102</x:f>
        <x:v>0</x:v>
      </x:c>
      <x:c r="L102" s="112" t="n">
        <x:f>J102*Reconciliation!$B$10</x:f>
        <x:v>218.75</x:v>
      </x:c>
      <x:c r="M102" s="112" t="n">
        <x:f>K102*Reconciliation!$B$10*1.5</x:f>
        <x:v>0</x:v>
      </x:c>
      <x:c r="N102" s="112" t="n">
        <x:f>L102+M102</x:f>
        <x:v>218.75</x:v>
      </x:c>
      <x:c r="O102" s="113" t="str">
        <x:v>Hypothetical planning/setup before 4 PM; instruction assumed 4–9 PM</x:v>
      </x:c>
    </x:row>
    <x:row r="103">
      <x:c r="A103" s="106" t="n">
        <x:v>46184</x:v>
      </x:c>
      <x:c r="B103" s="107" t="str">
        <x:v>Thu</x:v>
      </x:c>
      <x:c r="C103" s="108" t="n">
        <x:v>46174</x:v>
      </x:c>
      <x:c r="D103" s="109" t="n">
        <x:v>46181</x:v>
      </x:c>
      <x:c r="E103" s="110" t="n">
        <x:v>3.75</x:v>
      </x:c>
      <x:c r="F103" s="110" t="n">
        <x:v>5</x:v>
      </x:c>
      <x:c r="G103" s="110" t="n">
        <x:v>0</x:v>
      </x:c>
      <x:c r="H103" s="111" t="n">
        <x:f>E103+F103-G103</x:f>
        <x:v>8.75</x:v>
      </x:c>
      <x:c r="I103" s="111" t="n">
        <x:f>SUMIFS($H$6:H103,$D$6:D103,D103)-H103</x:f>
        <x:v>26.25</x:v>
      </x:c>
      <x:c r="J103" s="111" t="n">
        <x:f>MIN(H103,MAX(0,40-I103))</x:f>
        <x:v>8.75</x:v>
      </x:c>
      <x:c r="K103" s="111" t="n">
        <x:f>H103-J103</x:f>
        <x:v>0</x:v>
      </x:c>
      <x:c r="L103" s="112" t="n">
        <x:f>J103*Reconciliation!$B$10</x:f>
        <x:v>218.75</x:v>
      </x:c>
      <x:c r="M103" s="112" t="n">
        <x:f>K103*Reconciliation!$B$10*1.5</x:f>
        <x:v>0</x:v>
      </x:c>
      <x:c r="N103" s="112" t="n">
        <x:f>L103+M103</x:f>
        <x:v>218.75</x:v>
      </x:c>
      <x:c r="O103" s="113" t="str">
        <x:v>Hypothetical planning/setup before 4 PM; instruction assumed 4–9 PM</x:v>
      </x:c>
    </x:row>
    <x:row r="104">
      <x:c r="A104" s="106" t="n">
        <x:v>46185</x:v>
      </x:c>
      <x:c r="B104" s="107" t="str">
        <x:v>Fri</x:v>
      </x:c>
      <x:c r="C104" s="108" t="n">
        <x:v>46174</x:v>
      </x:c>
      <x:c r="D104" s="109" t="n">
        <x:v>46181</x:v>
      </x:c>
      <x:c r="E104" s="110" t="n">
        <x:v>3.75</x:v>
      </x:c>
      <x:c r="F104" s="110" t="n">
        <x:v>5</x:v>
      </x:c>
      <x:c r="G104" s="110" t="n">
        <x:v>0</x:v>
      </x:c>
      <x:c r="H104" s="111" t="n">
        <x:f>E104+F104-G104</x:f>
        <x:v>8.75</x:v>
      </x:c>
      <x:c r="I104" s="111" t="n">
        <x:f>SUMIFS($H$6:H104,$D$6:D104,D104)-H104</x:f>
        <x:v>35</x:v>
      </x:c>
      <x:c r="J104" s="111" t="n">
        <x:f>MIN(H104,MAX(0,40-I104))</x:f>
        <x:v>5</x:v>
      </x:c>
      <x:c r="K104" s="111" t="n">
        <x:f>H104-J104</x:f>
        <x:v>3.75</x:v>
      </x:c>
      <x:c r="L104" s="112" t="n">
        <x:f>J104*Reconciliation!$B$10</x:f>
        <x:v>125</x:v>
      </x:c>
      <x:c r="M104" s="112" t="n">
        <x:f>K104*Reconciliation!$B$10*1.5</x:f>
        <x:v>140.625</x:v>
      </x:c>
      <x:c r="N104" s="112" t="n">
        <x:f>L104+M104</x:f>
        <x:v>265.625</x:v>
      </x:c>
      <x:c r="O104" s="113" t="str">
        <x:v>Hypothetical planning/setup before 4 PM; instruction assumed 4–9 PM</x:v>
      </x:c>
    </x:row>
    <x:row r="105">
      <x:c r="A105" s="106" t="n">
        <x:v>46188</x:v>
      </x:c>
      <x:c r="B105" s="107" t="str">
        <x:v>Mon</x:v>
      </x:c>
      <x:c r="C105" s="108" t="n">
        <x:v>46174</x:v>
      </x:c>
      <x:c r="D105" s="109" t="n">
        <x:v>46188</x:v>
      </x:c>
      <x:c r="E105" s="110" t="n">
        <x:v>3.75</x:v>
      </x:c>
      <x:c r="F105" s="110" t="n">
        <x:v>5</x:v>
      </x:c>
      <x:c r="G105" s="110" t="n">
        <x:v>0</x:v>
      </x:c>
      <x:c r="H105" s="111" t="n">
        <x:f>E105+F105-G105</x:f>
        <x:v>8.75</x:v>
      </x:c>
      <x:c r="I105" s="111" t="n">
        <x:f>SUMIFS($H$6:H105,$D$6:D105,D105)-H105</x:f>
        <x:v>0</x:v>
      </x:c>
      <x:c r="J105" s="111" t="n">
        <x:f>MIN(H105,MAX(0,40-I105))</x:f>
        <x:v>8.75</x:v>
      </x:c>
      <x:c r="K105" s="111" t="n">
        <x:f>H105-J105</x:f>
        <x:v>0</x:v>
      </x:c>
      <x:c r="L105" s="112" t="n">
        <x:f>J105*Reconciliation!$B$10</x:f>
        <x:v>218.75</x:v>
      </x:c>
      <x:c r="M105" s="112" t="n">
        <x:f>K105*Reconciliation!$B$10*1.5</x:f>
        <x:v>0</x:v>
      </x:c>
      <x:c r="N105" s="112" t="n">
        <x:f>L105+M105</x:f>
        <x:v>218.75</x:v>
      </x:c>
      <x:c r="O105" s="113" t="str">
        <x:v>Hypothetical planning/setup before 4 PM; instruction assumed 4–9 PM</x:v>
      </x:c>
    </x:row>
    <x:row r="106">
      <x:c r="A106" s="106" t="n">
        <x:v>46189</x:v>
      </x:c>
      <x:c r="B106" s="107" t="str">
        <x:v>Tue</x:v>
      </x:c>
      <x:c r="C106" s="108" t="n">
        <x:v>46174</x:v>
      </x:c>
      <x:c r="D106" s="109" t="n">
        <x:v>46188</x:v>
      </x:c>
      <x:c r="E106" s="110" t="n">
        <x:v>3.75</x:v>
      </x:c>
      <x:c r="F106" s="110" t="n">
        <x:v>5</x:v>
      </x:c>
      <x:c r="G106" s="110" t="n">
        <x:v>0</x:v>
      </x:c>
      <x:c r="H106" s="111" t="n">
        <x:f>E106+F106-G106</x:f>
        <x:v>8.75</x:v>
      </x:c>
      <x:c r="I106" s="111" t="n">
        <x:f>SUMIFS($H$6:H106,$D$6:D106,D106)-H106</x:f>
        <x:v>8.75</x:v>
      </x:c>
      <x:c r="J106" s="111" t="n">
        <x:f>MIN(H106,MAX(0,40-I106))</x:f>
        <x:v>8.75</x:v>
      </x:c>
      <x:c r="K106" s="111" t="n">
        <x:f>H106-J106</x:f>
        <x:v>0</x:v>
      </x:c>
      <x:c r="L106" s="112" t="n">
        <x:f>J106*Reconciliation!$B$10</x:f>
        <x:v>218.75</x:v>
      </x:c>
      <x:c r="M106" s="112" t="n">
        <x:f>K106*Reconciliation!$B$10*1.5</x:f>
        <x:v>0</x:v>
      </x:c>
      <x:c r="N106" s="112" t="n">
        <x:f>L106+M106</x:f>
        <x:v>218.75</x:v>
      </x:c>
      <x:c r="O106" s="113" t="str">
        <x:v>Hypothetical planning/setup before 4 PM; instruction assumed 4–9 PM</x:v>
      </x:c>
    </x:row>
    <x:row r="107">
      <x:c r="A107" s="106" t="n">
        <x:v>46190</x:v>
      </x:c>
      <x:c r="B107" s="107" t="str">
        <x:v>Wed</x:v>
      </x:c>
      <x:c r="C107" s="108" t="n">
        <x:v>46174</x:v>
      </x:c>
      <x:c r="D107" s="109" t="n">
        <x:v>46188</x:v>
      </x:c>
      <x:c r="E107" s="110" t="n">
        <x:v>3.5</x:v>
      </x:c>
      <x:c r="F107" s="110" t="n">
        <x:v>5</x:v>
      </x:c>
      <x:c r="G107" s="110" t="n">
        <x:v>0</x:v>
      </x:c>
      <x:c r="H107" s="111" t="n">
        <x:f>E107+F107-G107</x:f>
        <x:v>8.5</x:v>
      </x:c>
      <x:c r="I107" s="111" t="n">
        <x:f>SUMIFS($H$6:H107,$D$6:D107,D107)-H107</x:f>
        <x:v>17.5</x:v>
      </x:c>
      <x:c r="J107" s="111" t="n">
        <x:f>MIN(H107,MAX(0,40-I107))</x:f>
        <x:v>8.5</x:v>
      </x:c>
      <x:c r="K107" s="111" t="n">
        <x:f>H107-J107</x:f>
        <x:v>0</x:v>
      </x:c>
      <x:c r="L107" s="112" t="n">
        <x:f>J107*Reconciliation!$B$10</x:f>
        <x:v>212.5</x:v>
      </x:c>
      <x:c r="M107" s="112" t="n">
        <x:f>K107*Reconciliation!$B$10*1.5</x:f>
        <x:v>0</x:v>
      </x:c>
      <x:c r="N107" s="112" t="n">
        <x:f>L107+M107</x:f>
        <x:v>212.5</x:v>
      </x:c>
      <x:c r="O107" s="113" t="str">
        <x:v>Hypothetical planning/setup before 4 PM; instruction assumed 4–9 PM</x:v>
      </x:c>
    </x:row>
    <x:row r="108">
      <x:c r="A108" s="106" t="n">
        <x:v>46191</x:v>
      </x:c>
      <x:c r="B108" s="107" t="str">
        <x:v>Thu</x:v>
      </x:c>
      <x:c r="C108" s="108" t="n">
        <x:v>46174</x:v>
      </x:c>
      <x:c r="D108" s="109" t="n">
        <x:v>46188</x:v>
      </x:c>
      <x:c r="E108" s="110" t="n">
        <x:v>3.5</x:v>
      </x:c>
      <x:c r="F108" s="110" t="n">
        <x:v>5</x:v>
      </x:c>
      <x:c r="G108" s="110" t="n">
        <x:v>0</x:v>
      </x:c>
      <x:c r="H108" s="111" t="n">
        <x:f>E108+F108-G108</x:f>
        <x:v>8.5</x:v>
      </x:c>
      <x:c r="I108" s="111" t="n">
        <x:f>SUMIFS($H$6:H108,$D$6:D108,D108)-H108</x:f>
        <x:v>26</x:v>
      </x:c>
      <x:c r="J108" s="111" t="n">
        <x:f>MIN(H108,MAX(0,40-I108))</x:f>
        <x:v>8.5</x:v>
      </x:c>
      <x:c r="K108" s="111" t="n">
        <x:f>H108-J108</x:f>
        <x:v>0</x:v>
      </x:c>
      <x:c r="L108" s="112" t="n">
        <x:f>J108*Reconciliation!$B$10</x:f>
        <x:v>212.5</x:v>
      </x:c>
      <x:c r="M108" s="112" t="n">
        <x:f>K108*Reconciliation!$B$10*1.5</x:f>
        <x:v>0</x:v>
      </x:c>
      <x:c r="N108" s="112" t="n">
        <x:f>L108+M108</x:f>
        <x:v>212.5</x:v>
      </x:c>
      <x:c r="O108" s="113" t="str">
        <x:v>Hypothetical planning/setup before 4 PM; instruction assumed 4–9 PM</x:v>
      </x:c>
    </x:row>
    <x:row r="109">
      <x:c r="A109" s="106" t="n">
        <x:v>46192</x:v>
      </x:c>
      <x:c r="B109" s="107" t="str">
        <x:v>Fri</x:v>
      </x:c>
      <x:c r="C109" s="108" t="n">
        <x:v>46174</x:v>
      </x:c>
      <x:c r="D109" s="109" t="n">
        <x:v>46188</x:v>
      </x:c>
      <x:c r="E109" s="110" t="n">
        <x:v>3.5</x:v>
      </x:c>
      <x:c r="F109" s="110" t="n">
        <x:v>5</x:v>
      </x:c>
      <x:c r="G109" s="110" t="n">
        <x:v>0</x:v>
      </x:c>
      <x:c r="H109" s="111" t="n">
        <x:f>E109+F109-G109</x:f>
        <x:v>8.5</x:v>
      </x:c>
      <x:c r="I109" s="111" t="n">
        <x:f>SUMIFS($H$6:H109,$D$6:D109,D109)-H109</x:f>
        <x:v>34.5</x:v>
      </x:c>
      <x:c r="J109" s="111" t="n">
        <x:f>MIN(H109,MAX(0,40-I109))</x:f>
        <x:v>5.5</x:v>
      </x:c>
      <x:c r="K109" s="111" t="n">
        <x:f>H109-J109</x:f>
        <x:v>3</x:v>
      </x:c>
      <x:c r="L109" s="112" t="n">
        <x:f>J109*Reconciliation!$B$10</x:f>
        <x:v>137.5</x:v>
      </x:c>
      <x:c r="M109" s="112" t="n">
        <x:f>K109*Reconciliation!$B$10*1.5</x:f>
        <x:v>112.5</x:v>
      </x:c>
      <x:c r="N109" s="112" t="n">
        <x:f>L109+M109</x:f>
        <x:v>250</x:v>
      </x:c>
      <x:c r="O109" s="113" t="str">
        <x:v>Hypothetical planning/setup before 4 PM; instruction assumed 4–9 PM</x:v>
      </x:c>
    </x:row>
    <x:row r="110">
      <x:c r="A110" s="106" t="n">
        <x:v>46195</x:v>
      </x:c>
      <x:c r="B110" s="107" t="str">
        <x:v>Mon</x:v>
      </x:c>
      <x:c r="C110" s="108" t="n">
        <x:v>46174</x:v>
      </x:c>
      <x:c r="D110" s="109" t="n">
        <x:v>46195</x:v>
      </x:c>
      <x:c r="E110" s="110" t="n">
        <x:v>3.5</x:v>
      </x:c>
      <x:c r="F110" s="110" t="n">
        <x:v>5</x:v>
      </x:c>
      <x:c r="G110" s="110" t="n">
        <x:v>0</x:v>
      </x:c>
      <x:c r="H110" s="111" t="n">
        <x:f>E110+F110-G110</x:f>
        <x:v>8.5</x:v>
      </x:c>
      <x:c r="I110" s="111" t="n">
        <x:f>SUMIFS($H$6:H110,$D$6:D110,D110)-H110</x:f>
        <x:v>0</x:v>
      </x:c>
      <x:c r="J110" s="111" t="n">
        <x:f>MIN(H110,MAX(0,40-I110))</x:f>
        <x:v>8.5</x:v>
      </x:c>
      <x:c r="K110" s="111" t="n">
        <x:f>H110-J110</x:f>
        <x:v>0</x:v>
      </x:c>
      <x:c r="L110" s="112" t="n">
        <x:f>J110*Reconciliation!$B$10</x:f>
        <x:v>212.5</x:v>
      </x:c>
      <x:c r="M110" s="112" t="n">
        <x:f>K110*Reconciliation!$B$10*1.5</x:f>
        <x:v>0</x:v>
      </x:c>
      <x:c r="N110" s="112" t="n">
        <x:f>L110+M110</x:f>
        <x:v>212.5</x:v>
      </x:c>
      <x:c r="O110" s="113" t="str">
        <x:v>Hypothetical planning/setup before 4 PM; instruction assumed 4–9 PM</x:v>
      </x:c>
    </x:row>
    <x:row r="111">
      <x:c r="A111" s="106" t="n">
        <x:v>46196</x:v>
      </x:c>
      <x:c r="B111" s="107" t="str">
        <x:v>Tue</x:v>
      </x:c>
      <x:c r="C111" s="108" t="n">
        <x:v>46174</x:v>
      </x:c>
      <x:c r="D111" s="109" t="n">
        <x:v>46195</x:v>
      </x:c>
      <x:c r="E111" s="110" t="n">
        <x:v>3.5</x:v>
      </x:c>
      <x:c r="F111" s="110" t="n">
        <x:v>5</x:v>
      </x:c>
      <x:c r="G111" s="110" t="n">
        <x:v>0</x:v>
      </x:c>
      <x:c r="H111" s="111" t="n">
        <x:f>E111+F111-G111</x:f>
        <x:v>8.5</x:v>
      </x:c>
      <x:c r="I111" s="111" t="n">
        <x:f>SUMIFS($H$6:H111,$D$6:D111,D111)-H111</x:f>
        <x:v>8.5</x:v>
      </x:c>
      <x:c r="J111" s="111" t="n">
        <x:f>MIN(H111,MAX(0,40-I111))</x:f>
        <x:v>8.5</x:v>
      </x:c>
      <x:c r="K111" s="111" t="n">
        <x:f>H111-J111</x:f>
        <x:v>0</x:v>
      </x:c>
      <x:c r="L111" s="112" t="n">
        <x:f>J111*Reconciliation!$B$10</x:f>
        <x:v>212.5</x:v>
      </x:c>
      <x:c r="M111" s="112" t="n">
        <x:f>K111*Reconciliation!$B$10*1.5</x:f>
        <x:v>0</x:v>
      </x:c>
      <x:c r="N111" s="112" t="n">
        <x:f>L111+M111</x:f>
        <x:v>212.5</x:v>
      </x:c>
      <x:c r="O111" s="113" t="str">
        <x:v>Hypothetical planning/setup before 4 PM; instruction assumed 4–9 PM</x:v>
      </x:c>
    </x:row>
    <x:row r="112">
      <x:c r="A112" s="106" t="n">
        <x:v>46197</x:v>
      </x:c>
      <x:c r="B112" s="107" t="str">
        <x:v>Wed</x:v>
      </x:c>
      <x:c r="C112" s="108" t="n">
        <x:v>46174</x:v>
      </x:c>
      <x:c r="D112" s="109" t="n">
        <x:v>46195</x:v>
      </x:c>
      <x:c r="E112" s="110" t="n">
        <x:v>3.5</x:v>
      </x:c>
      <x:c r="F112" s="110" t="n">
        <x:v>5</x:v>
      </x:c>
      <x:c r="G112" s="110" t="n">
        <x:v>0</x:v>
      </x:c>
      <x:c r="H112" s="111" t="n">
        <x:f>E112+F112-G112</x:f>
        <x:v>8.5</x:v>
      </x:c>
      <x:c r="I112" s="111" t="n">
        <x:f>SUMIFS($H$6:H112,$D$6:D112,D112)-H112</x:f>
        <x:v>17</x:v>
      </x:c>
      <x:c r="J112" s="111" t="n">
        <x:f>MIN(H112,MAX(0,40-I112))</x:f>
        <x:v>8.5</x:v>
      </x:c>
      <x:c r="K112" s="111" t="n">
        <x:f>H112-J112</x:f>
        <x:v>0</x:v>
      </x:c>
      <x:c r="L112" s="112" t="n">
        <x:f>J112*Reconciliation!$B$10</x:f>
        <x:v>212.5</x:v>
      </x:c>
      <x:c r="M112" s="112" t="n">
        <x:f>K112*Reconciliation!$B$10*1.5</x:f>
        <x:v>0</x:v>
      </x:c>
      <x:c r="N112" s="112" t="n">
        <x:f>L112+M112</x:f>
        <x:v>212.5</x:v>
      </x:c>
      <x:c r="O112" s="113" t="str">
        <x:v>Hypothetical planning/setup before 4 PM; instruction assumed 4–9 PM</x:v>
      </x:c>
    </x:row>
    <x:row r="113">
      <x:c r="A113" s="106" t="n">
        <x:v>46198</x:v>
      </x:c>
      <x:c r="B113" s="107" t="str">
        <x:v>Thu</x:v>
      </x:c>
      <x:c r="C113" s="108" t="n">
        <x:v>46174</x:v>
      </x:c>
      <x:c r="D113" s="109" t="n">
        <x:v>46195</x:v>
      </x:c>
      <x:c r="E113" s="110" t="n">
        <x:v>3.5</x:v>
      </x:c>
      <x:c r="F113" s="110" t="n">
        <x:v>5</x:v>
      </x:c>
      <x:c r="G113" s="110" t="n">
        <x:v>0</x:v>
      </x:c>
      <x:c r="H113" s="111" t="n">
        <x:f>E113+F113-G113</x:f>
        <x:v>8.5</x:v>
      </x:c>
      <x:c r="I113" s="111" t="n">
        <x:f>SUMIFS($H$6:H113,$D$6:D113,D113)-H113</x:f>
        <x:v>25.5</x:v>
      </x:c>
      <x:c r="J113" s="111" t="n">
        <x:f>MIN(H113,MAX(0,40-I113))</x:f>
        <x:v>8.5</x:v>
      </x:c>
      <x:c r="K113" s="111" t="n">
        <x:f>H113-J113</x:f>
        <x:v>0</x:v>
      </x:c>
      <x:c r="L113" s="112" t="n">
        <x:f>J113*Reconciliation!$B$10</x:f>
        <x:v>212.5</x:v>
      </x:c>
      <x:c r="M113" s="112" t="n">
        <x:f>K113*Reconciliation!$B$10*1.5</x:f>
        <x:v>0</x:v>
      </x:c>
      <x:c r="N113" s="112" t="n">
        <x:f>L113+M113</x:f>
        <x:v>212.5</x:v>
      </x:c>
      <x:c r="O113" s="113" t="str">
        <x:v>Hypothetical planning/setup before 4 PM; instruction assumed 4–9 PM</x:v>
      </x:c>
    </x:row>
    <x:row r="114">
      <x:c r="A114" s="106" t="n">
        <x:v>46199</x:v>
      </x:c>
      <x:c r="B114" s="107" t="str">
        <x:v>Fri</x:v>
      </x:c>
      <x:c r="C114" s="108" t="n">
        <x:v>46174</x:v>
      </x:c>
      <x:c r="D114" s="109" t="n">
        <x:v>46195</x:v>
      </x:c>
      <x:c r="E114" s="110" t="n">
        <x:v>3.5</x:v>
      </x:c>
      <x:c r="F114" s="110" t="n">
        <x:v>5</x:v>
      </x:c>
      <x:c r="G114" s="110" t="n">
        <x:v>0</x:v>
      </x:c>
      <x:c r="H114" s="111" t="n">
        <x:f>E114+F114-G114</x:f>
        <x:v>8.5</x:v>
      </x:c>
      <x:c r="I114" s="111" t="n">
        <x:f>SUMIFS($H$6:H114,$D$6:D114,D114)-H114</x:f>
        <x:v>34</x:v>
      </x:c>
      <x:c r="J114" s="111" t="n">
        <x:f>MIN(H114,MAX(0,40-I114))</x:f>
        <x:v>6</x:v>
      </x:c>
      <x:c r="K114" s="111" t="n">
        <x:f>H114-J114</x:f>
        <x:v>2.5</x:v>
      </x:c>
      <x:c r="L114" s="112" t="n">
        <x:f>J114*Reconciliation!$B$10</x:f>
        <x:v>150</x:v>
      </x:c>
      <x:c r="M114" s="112" t="n">
        <x:f>K114*Reconciliation!$B$10*1.5</x:f>
        <x:v>93.75</x:v>
      </x:c>
      <x:c r="N114" s="112" t="n">
        <x:f>L114+M114</x:f>
        <x:v>243.75</x:v>
      </x:c>
      <x:c r="O114" s="113" t="str">
        <x:v>Hypothetical planning/setup before 4 PM; instruction assumed 4–9 PM</x:v>
      </x:c>
    </x:row>
    <x:row r="115">
      <x:c r="A115" s="106" t="n">
        <x:v>46202</x:v>
      </x:c>
      <x:c r="B115" s="107" t="str">
        <x:v>Mon</x:v>
      </x:c>
      <x:c r="C115" s="108" t="n">
        <x:v>46174</x:v>
      </x:c>
      <x:c r="D115" s="109" t="n">
        <x:v>46202</x:v>
      </x:c>
      <x:c r="E115" s="110" t="n">
        <x:v>3.5</x:v>
      </x:c>
      <x:c r="F115" s="110" t="n">
        <x:v>5</x:v>
      </x:c>
      <x:c r="G115" s="110" t="n">
        <x:v>0</x:v>
      </x:c>
      <x:c r="H115" s="111" t="n">
        <x:f>E115+F115-G115</x:f>
        <x:v>8.5</x:v>
      </x:c>
      <x:c r="I115" s="111" t="n">
        <x:f>SUMIFS($H$6:H115,$D$6:D115,D115)-H115</x:f>
        <x:v>0</x:v>
      </x:c>
      <x:c r="J115" s="111" t="n">
        <x:f>MIN(H115,MAX(0,40-I115))</x:f>
        <x:v>8.5</x:v>
      </x:c>
      <x:c r="K115" s="111" t="n">
        <x:f>H115-J115</x:f>
        <x:v>0</x:v>
      </x:c>
      <x:c r="L115" s="112" t="n">
        <x:f>J115*Reconciliation!$B$10</x:f>
        <x:v>212.5</x:v>
      </x:c>
      <x:c r="M115" s="112" t="n">
        <x:f>K115*Reconciliation!$B$10*1.5</x:f>
        <x:v>0</x:v>
      </x:c>
      <x:c r="N115" s="112" t="n">
        <x:f>L115+M115</x:f>
        <x:v>212.5</x:v>
      </x:c>
      <x:c r="O115" s="113" t="str">
        <x:v>Hypothetical planning/setup before 4 PM; instruction assumed 4–9 PM</x:v>
      </x:c>
    </x:row>
    <x:row r="116">
      <x:c r="A116" s="106" t="n">
        <x:v>46203</x:v>
      </x:c>
      <x:c r="B116" s="107" t="str">
        <x:v>Tue</x:v>
      </x:c>
      <x:c r="C116" s="108" t="n">
        <x:v>46174</x:v>
      </x:c>
      <x:c r="D116" s="109" t="n">
        <x:v>46202</x:v>
      </x:c>
      <x:c r="E116" s="110" t="n">
        <x:v>3.5</x:v>
      </x:c>
      <x:c r="F116" s="110" t="n">
        <x:v>5</x:v>
      </x:c>
      <x:c r="G116" s="110" t="n">
        <x:v>0</x:v>
      </x:c>
      <x:c r="H116" s="111" t="n">
        <x:f>E116+F116-G116</x:f>
        <x:v>8.5</x:v>
      </x:c>
      <x:c r="I116" s="111" t="n">
        <x:f>SUMIFS($H$6:H116,$D$6:D116,D116)-H116</x:f>
        <x:v>8.5</x:v>
      </x:c>
      <x:c r="J116" s="111" t="n">
        <x:f>MIN(H116,MAX(0,40-I116))</x:f>
        <x:v>8.5</x:v>
      </x:c>
      <x:c r="K116" s="111" t="n">
        <x:f>H116-J116</x:f>
        <x:v>0</x:v>
      </x:c>
      <x:c r="L116" s="112" t="n">
        <x:f>J116*Reconciliation!$B$10</x:f>
        <x:v>212.5</x:v>
      </x:c>
      <x:c r="M116" s="112" t="n">
        <x:f>K116*Reconciliation!$B$10*1.5</x:f>
        <x:v>0</x:v>
      </x:c>
      <x:c r="N116" s="112" t="n">
        <x:f>L116+M116</x:f>
        <x:v>212.5</x:v>
      </x:c>
      <x:c r="O116" s="113" t="str">
        <x:v>Hypothetical planning/setup before 4 PM; instruction assumed 4–9 PM</x:v>
      </x:c>
    </x:row>
    <x:row r="117">
      <x:c r="A117" s="106" t="n">
        <x:v>46204</x:v>
      </x:c>
      <x:c r="B117" s="107" t="str">
        <x:v>Wed</x:v>
      </x:c>
      <x:c r="C117" s="108" t="n">
        <x:v>46204</x:v>
      </x:c>
      <x:c r="D117" s="109" t="n">
        <x:v>46202</x:v>
      </x:c>
      <x:c r="E117" s="110" t="n">
        <x:v>2</x:v>
      </x:c>
      <x:c r="F117" s="110" t="n">
        <x:v>5</x:v>
      </x:c>
      <x:c r="G117" s="110" t="n">
        <x:v>0</x:v>
      </x:c>
      <x:c r="H117" s="111" t="n">
        <x:f>E117+F117-G117</x:f>
        <x:v>7</x:v>
      </x:c>
      <x:c r="I117" s="111" t="n">
        <x:f>SUMIFS($H$6:H117,$D$6:D117,D117)-H117</x:f>
        <x:v>17</x:v>
      </x:c>
      <x:c r="J117" s="111" t="n">
        <x:f>MIN(H117,MAX(0,40-I117))</x:f>
        <x:v>7</x:v>
      </x:c>
      <x:c r="K117" s="111" t="n">
        <x:f>H117-J117</x:f>
        <x:v>0</x:v>
      </x:c>
      <x:c r="L117" s="112" t="n">
        <x:f>J117*Reconciliation!$B$10</x:f>
        <x:v>175</x:v>
      </x:c>
      <x:c r="M117" s="112" t="n">
        <x:f>K117*Reconciliation!$B$10*1.5</x:f>
        <x:v>0</x:v>
      </x:c>
      <x:c r="N117" s="112" t="n">
        <x:f>L117+M117</x:f>
        <x:v>175</x:v>
      </x:c>
      <x:c r="O117" s="113" t="str">
        <x:v>Hypothetical planning/setup before 4 PM; instruction assumed 4–9 PM</x:v>
      </x:c>
    </x:row>
    <x:row r="118">
      <x:c r="A118" s="106" t="n">
        <x:v>46205</x:v>
      </x:c>
      <x:c r="B118" s="107" t="str">
        <x:v>Thu</x:v>
      </x:c>
      <x:c r="C118" s="108" t="n">
        <x:v>46204</x:v>
      </x:c>
      <x:c r="D118" s="109" t="n">
        <x:v>46202</x:v>
      </x:c>
      <x:c r="E118" s="110" t="n">
        <x:v>2</x:v>
      </x:c>
      <x:c r="F118" s="110" t="n">
        <x:v>5</x:v>
      </x:c>
      <x:c r="G118" s="110" t="n">
        <x:v>0</x:v>
      </x:c>
      <x:c r="H118" s="111" t="n">
        <x:f>E118+F118-G118</x:f>
        <x:v>7</x:v>
      </x:c>
      <x:c r="I118" s="111" t="n">
        <x:f>SUMIFS($H$6:H118,$D$6:D118,D118)-H118</x:f>
        <x:v>24</x:v>
      </x:c>
      <x:c r="J118" s="111" t="n">
        <x:f>MIN(H118,MAX(0,40-I118))</x:f>
        <x:v>7</x:v>
      </x:c>
      <x:c r="K118" s="111" t="n">
        <x:f>H118-J118</x:f>
        <x:v>0</x:v>
      </x:c>
      <x:c r="L118" s="112" t="n">
        <x:f>J118*Reconciliation!$B$10</x:f>
        <x:v>175</x:v>
      </x:c>
      <x:c r="M118" s="112" t="n">
        <x:f>K118*Reconciliation!$B$10*1.5</x:f>
        <x:v>0</x:v>
      </x:c>
      <x:c r="N118" s="112" t="n">
        <x:f>L118+M118</x:f>
        <x:v>175</x:v>
      </x:c>
      <x:c r="O118" s="113" t="str">
        <x:v>Hypothetical planning/setup before 4 PM; instruction assumed 4–9 PM</x:v>
      </x:c>
    </x:row>
    <x:row r="119">
      <x:c r="A119" s="106" t="n">
        <x:v>46206</x:v>
      </x:c>
      <x:c r="B119" s="107" t="str">
        <x:v>Fri</x:v>
      </x:c>
      <x:c r="C119" s="108" t="n">
        <x:v>46204</x:v>
      </x:c>
      <x:c r="D119" s="109" t="n">
        <x:v>46202</x:v>
      </x:c>
      <x:c r="E119" s="110" t="n">
        <x:v>2</x:v>
      </x:c>
      <x:c r="F119" s="110" t="n">
        <x:v>5</x:v>
      </x:c>
      <x:c r="G119" s="110" t="n">
        <x:v>0</x:v>
      </x:c>
      <x:c r="H119" s="111" t="n">
        <x:f>E119+F119-G119</x:f>
        <x:v>7</x:v>
      </x:c>
      <x:c r="I119" s="111" t="n">
        <x:f>SUMIFS($H$6:H119,$D$6:D119,D119)-H119</x:f>
        <x:v>31</x:v>
      </x:c>
      <x:c r="J119" s="111" t="n">
        <x:f>MIN(H119,MAX(0,40-I119))</x:f>
        <x:v>7</x:v>
      </x:c>
      <x:c r="K119" s="111" t="n">
        <x:f>H119-J119</x:f>
        <x:v>0</x:v>
      </x:c>
      <x:c r="L119" s="112" t="n">
        <x:f>J119*Reconciliation!$B$10</x:f>
        <x:v>175</x:v>
      </x:c>
      <x:c r="M119" s="112" t="n">
        <x:f>K119*Reconciliation!$B$10*1.5</x:f>
        <x:v>0</x:v>
      </x:c>
      <x:c r="N119" s="112" t="n">
        <x:f>L119+M119</x:f>
        <x:v>175</x:v>
      </x:c>
      <x:c r="O119" s="113" t="str">
        <x:v>Hypothetical planning/setup before 4 PM; instruction assumed 4–9 PM</x:v>
      </x:c>
    </x:row>
    <x:row r="120">
      <x:c r="A120" s="106" t="n">
        <x:v>46209</x:v>
      </x:c>
      <x:c r="B120" s="107" t="str">
        <x:v>Mon</x:v>
      </x:c>
      <x:c r="C120" s="108" t="n">
        <x:v>46204</x:v>
      </x:c>
      <x:c r="D120" s="109" t="n">
        <x:v>46209</x:v>
      </x:c>
      <x:c r="E120" s="110" t="n">
        <x:v>2</x:v>
      </x:c>
      <x:c r="F120" s="110" t="n">
        <x:v>5</x:v>
      </x:c>
      <x:c r="G120" s="110" t="n">
        <x:v>0</x:v>
      </x:c>
      <x:c r="H120" s="111" t="n">
        <x:f>E120+F120-G120</x:f>
        <x:v>7</x:v>
      </x:c>
      <x:c r="I120" s="111" t="n">
        <x:f>SUMIFS($H$6:H120,$D$6:D120,D120)-H120</x:f>
        <x:v>0</x:v>
      </x:c>
      <x:c r="J120" s="111" t="n">
        <x:f>MIN(H120,MAX(0,40-I120))</x:f>
        <x:v>7</x:v>
      </x:c>
      <x:c r="K120" s="111" t="n">
        <x:f>H120-J120</x:f>
        <x:v>0</x:v>
      </x:c>
      <x:c r="L120" s="112" t="n">
        <x:f>J120*Reconciliation!$B$10</x:f>
        <x:v>175</x:v>
      </x:c>
      <x:c r="M120" s="112" t="n">
        <x:f>K120*Reconciliation!$B$10*1.5</x:f>
        <x:v>0</x:v>
      </x:c>
      <x:c r="N120" s="112" t="n">
        <x:f>L120+M120</x:f>
        <x:v>175</x:v>
      </x:c>
      <x:c r="O120" s="113" t="str">
        <x:v>Hypothetical planning/setup before 4 PM; instruction assumed 4–9 PM</x:v>
      </x:c>
    </x:row>
    <x:row r="121">
      <x:c r="A121" s="106" t="n">
        <x:v>46210</x:v>
      </x:c>
      <x:c r="B121" s="107" t="str">
        <x:v>Tue</x:v>
      </x:c>
      <x:c r="C121" s="108" t="n">
        <x:v>46204</x:v>
      </x:c>
      <x:c r="D121" s="109" t="n">
        <x:v>46209</x:v>
      </x:c>
      <x:c r="E121" s="110" t="n">
        <x:v>2</x:v>
      </x:c>
      <x:c r="F121" s="110" t="n">
        <x:v>5</x:v>
      </x:c>
      <x:c r="G121" s="110" t="n">
        <x:v>0</x:v>
      </x:c>
      <x:c r="H121" s="111" t="n">
        <x:f>E121+F121-G121</x:f>
        <x:v>7</x:v>
      </x:c>
      <x:c r="I121" s="111" t="n">
        <x:f>SUMIFS($H$6:H121,$D$6:D121,D121)-H121</x:f>
        <x:v>7</x:v>
      </x:c>
      <x:c r="J121" s="111" t="n">
        <x:f>MIN(H121,MAX(0,40-I121))</x:f>
        <x:v>7</x:v>
      </x:c>
      <x:c r="K121" s="111" t="n">
        <x:f>H121-J121</x:f>
        <x:v>0</x:v>
      </x:c>
      <x:c r="L121" s="112" t="n">
        <x:f>J121*Reconciliation!$B$10</x:f>
        <x:v>175</x:v>
      </x:c>
      <x:c r="M121" s="112" t="n">
        <x:f>K121*Reconciliation!$B$10*1.5</x:f>
        <x:v>0</x:v>
      </x:c>
      <x:c r="N121" s="112" t="n">
        <x:f>L121+M121</x:f>
        <x:v>175</x:v>
      </x:c>
      <x:c r="O121" s="113" t="str">
        <x:v>Hypothetical planning/setup before 4 PM; instruction assumed 4–9 PM</x:v>
      </x:c>
    </x:row>
    <x:row r="122">
      <x:c r="A122" s="106" t="n">
        <x:v>46211</x:v>
      </x:c>
      <x:c r="B122" s="107" t="str">
        <x:v>Wed</x:v>
      </x:c>
      <x:c r="C122" s="108" t="n">
        <x:v>46204</x:v>
      </x:c>
      <x:c r="D122" s="109" t="n">
        <x:v>46209</x:v>
      </x:c>
      <x:c r="E122" s="110" t="n">
        <x:v>2</x:v>
      </x:c>
      <x:c r="F122" s="110" t="n">
        <x:v>5</x:v>
      </x:c>
      <x:c r="G122" s="110" t="n">
        <x:v>0</x:v>
      </x:c>
      <x:c r="H122" s="111" t="n">
        <x:f>E122+F122-G122</x:f>
        <x:v>7</x:v>
      </x:c>
      <x:c r="I122" s="111" t="n">
        <x:f>SUMIFS($H$6:H122,$D$6:D122,D122)-H122</x:f>
        <x:v>14</x:v>
      </x:c>
      <x:c r="J122" s="111" t="n">
        <x:f>MIN(H122,MAX(0,40-I122))</x:f>
        <x:v>7</x:v>
      </x:c>
      <x:c r="K122" s="111" t="n">
        <x:f>H122-J122</x:f>
        <x:v>0</x:v>
      </x:c>
      <x:c r="L122" s="112" t="n">
        <x:f>J122*Reconciliation!$B$10</x:f>
        <x:v>175</x:v>
      </x:c>
      <x:c r="M122" s="112" t="n">
        <x:f>K122*Reconciliation!$B$10*1.5</x:f>
        <x:v>0</x:v>
      </x:c>
      <x:c r="N122" s="112" t="n">
        <x:f>L122+M122</x:f>
        <x:v>175</x:v>
      </x:c>
      <x:c r="O122" s="113" t="str">
        <x:v>Hypothetical planning/setup before 4 PM; instruction assumed 4–9 PM</x:v>
      </x:c>
    </x:row>
    <x:row r="123">
      <x:c r="A123" s="106" t="n">
        <x:v>46212</x:v>
      </x:c>
      <x:c r="B123" s="107" t="str">
        <x:v>Thu</x:v>
      </x:c>
      <x:c r="C123" s="108" t="n">
        <x:v>46204</x:v>
      </x:c>
      <x:c r="D123" s="109" t="n">
        <x:v>46209</x:v>
      </x:c>
      <x:c r="E123" s="110" t="n">
        <x:v>2</x:v>
      </x:c>
      <x:c r="F123" s="110" t="n">
        <x:v>5</x:v>
      </x:c>
      <x:c r="G123" s="110" t="n">
        <x:v>0</x:v>
      </x:c>
      <x:c r="H123" s="111" t="n">
        <x:f>E123+F123-G123</x:f>
        <x:v>7</x:v>
      </x:c>
      <x:c r="I123" s="111" t="n">
        <x:f>SUMIFS($H$6:H123,$D$6:D123,D123)-H123</x:f>
        <x:v>21</x:v>
      </x:c>
      <x:c r="J123" s="111" t="n">
        <x:f>MIN(H123,MAX(0,40-I123))</x:f>
        <x:v>7</x:v>
      </x:c>
      <x:c r="K123" s="111" t="n">
        <x:f>H123-J123</x:f>
        <x:v>0</x:v>
      </x:c>
      <x:c r="L123" s="112" t="n">
        <x:f>J123*Reconciliation!$B$10</x:f>
        <x:v>175</x:v>
      </x:c>
      <x:c r="M123" s="112" t="n">
        <x:f>K123*Reconciliation!$B$10*1.5</x:f>
        <x:v>0</x:v>
      </x:c>
      <x:c r="N123" s="112" t="n">
        <x:f>L123+M123</x:f>
        <x:v>175</x:v>
      </x:c>
      <x:c r="O123" s="113" t="str">
        <x:v>Hypothetical planning/setup before 4 PM; instruction assumed 4–9 PM</x:v>
      </x:c>
    </x:row>
    <x:row r="124">
      <x:c r="A124" s="106" t="n">
        <x:v>46213</x:v>
      </x:c>
      <x:c r="B124" s="107" t="str">
        <x:v>Fri</x:v>
      </x:c>
      <x:c r="C124" s="108" t="n">
        <x:v>46204</x:v>
      </x:c>
      <x:c r="D124" s="109" t="n">
        <x:v>46209</x:v>
      </x:c>
      <x:c r="E124" s="110" t="n">
        <x:v>2</x:v>
      </x:c>
      <x:c r="F124" s="110" t="n">
        <x:v>5</x:v>
      </x:c>
      <x:c r="G124" s="110" t="n">
        <x:v>0</x:v>
      </x:c>
      <x:c r="H124" s="111" t="n">
        <x:f>E124+F124-G124</x:f>
        <x:v>7</x:v>
      </x:c>
      <x:c r="I124" s="111" t="n">
        <x:f>SUMIFS($H$6:H124,$D$6:D124,D124)-H124</x:f>
        <x:v>28</x:v>
      </x:c>
      <x:c r="J124" s="111" t="n">
        <x:f>MIN(H124,MAX(0,40-I124))</x:f>
        <x:v>7</x:v>
      </x:c>
      <x:c r="K124" s="111" t="n">
        <x:f>H124-J124</x:f>
        <x:v>0</x:v>
      </x:c>
      <x:c r="L124" s="112" t="n">
        <x:f>J124*Reconciliation!$B$10</x:f>
        <x:v>175</x:v>
      </x:c>
      <x:c r="M124" s="112" t="n">
        <x:f>K124*Reconciliation!$B$10*1.5</x:f>
        <x:v>0</x:v>
      </x:c>
      <x:c r="N124" s="112" t="n">
        <x:f>L124+M124</x:f>
        <x:v>175</x:v>
      </x:c>
      <x:c r="O124" s="113" t="str">
        <x:v>Hypothetical planning/setup before 4 PM; instruction assumed 4–9 PM</x:v>
      </x:c>
    </x:row>
    <x:row r="125">
      <x:c r="A125" s="106" t="n">
        <x:v>46216</x:v>
      </x:c>
      <x:c r="B125" s="107" t="str">
        <x:v>Mon</x:v>
      </x:c>
      <x:c r="C125" s="108" t="n">
        <x:v>46204</x:v>
      </x:c>
      <x:c r="D125" s="109" t="n">
        <x:v>46216</x:v>
      </x:c>
      <x:c r="E125" s="110" t="n">
        <x:v>2</x:v>
      </x:c>
      <x:c r="F125" s="110" t="n">
        <x:v>5</x:v>
      </x:c>
      <x:c r="G125" s="110" t="n">
        <x:v>0</x:v>
      </x:c>
      <x:c r="H125" s="111" t="n">
        <x:f>E125+F125-G125</x:f>
        <x:v>7</x:v>
      </x:c>
      <x:c r="I125" s="111" t="n">
        <x:f>SUMIFS($H$6:H125,$D$6:D125,D125)-H125</x:f>
        <x:v>0</x:v>
      </x:c>
      <x:c r="J125" s="111" t="n">
        <x:f>MIN(H125,MAX(0,40-I125))</x:f>
        <x:v>7</x:v>
      </x:c>
      <x:c r="K125" s="111" t="n">
        <x:f>H125-J125</x:f>
        <x:v>0</x:v>
      </x:c>
      <x:c r="L125" s="112" t="n">
        <x:f>J125*Reconciliation!$B$10</x:f>
        <x:v>175</x:v>
      </x:c>
      <x:c r="M125" s="112" t="n">
        <x:f>K125*Reconciliation!$B$10*1.5</x:f>
        <x:v>0</x:v>
      </x:c>
      <x:c r="N125" s="112" t="n">
        <x:f>L125+M125</x:f>
        <x:v>175</x:v>
      </x:c>
      <x:c r="O125" s="113" t="str">
        <x:v>Hypothetical planning/setup before 4 PM; instruction assumed 4–9 PM</x:v>
      </x:c>
    </x:row>
    <x:row r="126">
      <x:c r="A126" s="106" t="n">
        <x:v>46217</x:v>
      </x:c>
      <x:c r="B126" s="107" t="str">
        <x:v>Tue</x:v>
      </x:c>
      <x:c r="C126" s="108" t="n">
        <x:v>46204</x:v>
      </x:c>
      <x:c r="D126" s="109" t="n">
        <x:v>46216</x:v>
      </x:c>
      <x:c r="E126" s="110" t="n">
        <x:v>2</x:v>
      </x:c>
      <x:c r="F126" s="110" t="n">
        <x:v>5</x:v>
      </x:c>
      <x:c r="G126" s="110" t="n">
        <x:v>0</x:v>
      </x:c>
      <x:c r="H126" s="111" t="n">
        <x:f>E126+F126-G126</x:f>
        <x:v>7</x:v>
      </x:c>
      <x:c r="I126" s="111" t="n">
        <x:f>SUMIFS($H$6:H126,$D$6:D126,D126)-H126</x:f>
        <x:v>7</x:v>
      </x:c>
      <x:c r="J126" s="111" t="n">
        <x:f>MIN(H126,MAX(0,40-I126))</x:f>
        <x:v>7</x:v>
      </x:c>
      <x:c r="K126" s="111" t="n">
        <x:f>H126-J126</x:f>
        <x:v>0</x:v>
      </x:c>
      <x:c r="L126" s="112" t="n">
        <x:f>J126*Reconciliation!$B$10</x:f>
        <x:v>175</x:v>
      </x:c>
      <x:c r="M126" s="112" t="n">
        <x:f>K126*Reconciliation!$B$10*1.5</x:f>
        <x:v>0</x:v>
      </x:c>
      <x:c r="N126" s="112" t="n">
        <x:f>L126+M126</x:f>
        <x:v>175</x:v>
      </x:c>
      <x:c r="O126" s="113" t="str">
        <x:v>Hypothetical planning/setup before 4 PM; instruction assumed 4–9 PM</x:v>
      </x:c>
    </x:row>
    <x:row r="127">
      <x:c r="A127" s="106" t="n">
        <x:v>46218</x:v>
      </x:c>
      <x:c r="B127" s="107" t="str">
        <x:v>Wed</x:v>
      </x:c>
      <x:c r="C127" s="108" t="n">
        <x:v>46204</x:v>
      </x:c>
      <x:c r="D127" s="109" t="n">
        <x:v>46216</x:v>
      </x:c>
      <x:c r="E127" s="110" t="n">
        <x:v>2</x:v>
      </x:c>
      <x:c r="F127" s="110" t="n">
        <x:v>5</x:v>
      </x:c>
      <x:c r="G127" s="110" t="n">
        <x:v>0</x:v>
      </x:c>
      <x:c r="H127" s="111" t="n">
        <x:f>E127+F127-G127</x:f>
        <x:v>7</x:v>
      </x:c>
      <x:c r="I127" s="111" t="n">
        <x:f>SUMIFS($H$6:H127,$D$6:D127,D127)-H127</x:f>
        <x:v>14</x:v>
      </x:c>
      <x:c r="J127" s="111" t="n">
        <x:f>MIN(H127,MAX(0,40-I127))</x:f>
        <x:v>7</x:v>
      </x:c>
      <x:c r="K127" s="111" t="n">
        <x:f>H127-J127</x:f>
        <x:v>0</x:v>
      </x:c>
      <x:c r="L127" s="112" t="n">
        <x:f>J127*Reconciliation!$B$10</x:f>
        <x:v>175</x:v>
      </x:c>
      <x:c r="M127" s="112" t="n">
        <x:f>K127*Reconciliation!$B$10*1.5</x:f>
        <x:v>0</x:v>
      </x:c>
      <x:c r="N127" s="112" t="n">
        <x:f>L127+M127</x:f>
        <x:v>175</x:v>
      </x:c>
      <x:c r="O127" s="113" t="str">
        <x:v>Hypothetical planning/setup before 4 PM; instruction assumed 4–9 PM</x:v>
      </x:c>
    </x:row>
    <x:row r="128">
      <x:c r="A128" s="106" t="n">
        <x:v>46219</x:v>
      </x:c>
      <x:c r="B128" s="107" t="str">
        <x:v>Thu</x:v>
      </x:c>
      <x:c r="C128" s="108" t="n">
        <x:v>46204</x:v>
      </x:c>
      <x:c r="D128" s="109" t="n">
        <x:v>46216</x:v>
      </x:c>
      <x:c r="E128" s="110" t="n">
        <x:v>2</x:v>
      </x:c>
      <x:c r="F128" s="110" t="n">
        <x:v>5</x:v>
      </x:c>
      <x:c r="G128" s="110" t="n">
        <x:v>0</x:v>
      </x:c>
      <x:c r="H128" s="111" t="n">
        <x:f>E128+F128-G128</x:f>
        <x:v>7</x:v>
      </x:c>
      <x:c r="I128" s="111" t="n">
        <x:f>SUMIFS($H$6:H128,$D$6:D128,D128)-H128</x:f>
        <x:v>21</x:v>
      </x:c>
      <x:c r="J128" s="111" t="n">
        <x:f>MIN(H128,MAX(0,40-I128))</x:f>
        <x:v>7</x:v>
      </x:c>
      <x:c r="K128" s="111" t="n">
        <x:f>H128-J128</x:f>
        <x:v>0</x:v>
      </x:c>
      <x:c r="L128" s="112" t="n">
        <x:f>J128*Reconciliation!$B$10</x:f>
        <x:v>175</x:v>
      </x:c>
      <x:c r="M128" s="112" t="n">
        <x:f>K128*Reconciliation!$B$10*1.5</x:f>
        <x:v>0</x:v>
      </x:c>
      <x:c r="N128" s="112" t="n">
        <x:f>L128+M128</x:f>
        <x:v>175</x:v>
      </x:c>
      <x:c r="O128" s="113" t="str">
        <x:v>Hypothetical planning/setup before 4 PM; instruction assumed 4–9 PM</x:v>
      </x:c>
    </x:row>
    <x:row r="129">
      <x:c r="A129" s="106" t="n">
        <x:v>46220</x:v>
      </x:c>
      <x:c r="B129" s="107" t="str">
        <x:v>Fri</x:v>
      </x:c>
      <x:c r="C129" s="108" t="n">
        <x:v>46204</x:v>
      </x:c>
      <x:c r="D129" s="109" t="n">
        <x:v>46216</x:v>
      </x:c>
      <x:c r="E129" s="110" t="n">
        <x:v>2</x:v>
      </x:c>
      <x:c r="F129" s="110" t="n">
        <x:v>5</x:v>
      </x:c>
      <x:c r="G129" s="110" t="n">
        <x:v>0</x:v>
      </x:c>
      <x:c r="H129" s="111" t="n">
        <x:f>E129+F129-G129</x:f>
        <x:v>7</x:v>
      </x:c>
      <x:c r="I129" s="111" t="n">
        <x:f>SUMIFS($H$6:H129,$D$6:D129,D129)-H129</x:f>
        <x:v>28</x:v>
      </x:c>
      <x:c r="J129" s="111" t="n">
        <x:f>MIN(H129,MAX(0,40-I129))</x:f>
        <x:v>7</x:v>
      </x:c>
      <x:c r="K129" s="111" t="n">
        <x:f>H129-J129</x:f>
        <x:v>0</x:v>
      </x:c>
      <x:c r="L129" s="112" t="n">
        <x:f>J129*Reconciliation!$B$10</x:f>
        <x:v>175</x:v>
      </x:c>
      <x:c r="M129" s="112" t="n">
        <x:f>K129*Reconciliation!$B$10*1.5</x:f>
        <x:v>0</x:v>
      </x:c>
      <x:c r="N129" s="112" t="n">
        <x:f>L129+M129</x:f>
        <x:v>175</x:v>
      </x:c>
      <x:c r="O129" s="113" t="str">
        <x:v>Hypothetical planning/setup before 4 PM; instruction assumed 4–9 PM</x:v>
      </x:c>
    </x:row>
    <x:row r="130">
      <x:c r="A130" s="106" t="n">
        <x:v>46223</x:v>
      </x:c>
      <x:c r="B130" s="107" t="str">
        <x:v>Mon</x:v>
      </x:c>
      <x:c r="C130" s="108" t="n">
        <x:v>46204</x:v>
      </x:c>
      <x:c r="D130" s="109" t="n">
        <x:v>46223</x:v>
      </x:c>
      <x:c r="E130" s="110" t="n">
        <x:v>2</x:v>
      </x:c>
      <x:c r="F130" s="110" t="n">
        <x:v>5</x:v>
      </x:c>
      <x:c r="G130" s="110" t="n">
        <x:v>0</x:v>
      </x:c>
      <x:c r="H130" s="111" t="n">
        <x:f>E130+F130-G130</x:f>
        <x:v>7</x:v>
      </x:c>
      <x:c r="I130" s="111" t="n">
        <x:f>SUMIFS($H$6:H130,$D$6:D130,D130)-H130</x:f>
        <x:v>0</x:v>
      </x:c>
      <x:c r="J130" s="111" t="n">
        <x:f>MIN(H130,MAX(0,40-I130))</x:f>
        <x:v>7</x:v>
      </x:c>
      <x:c r="K130" s="111" t="n">
        <x:f>H130-J130</x:f>
        <x:v>0</x:v>
      </x:c>
      <x:c r="L130" s="112" t="n">
        <x:f>J130*Reconciliation!$B$10</x:f>
        <x:v>175</x:v>
      </x:c>
      <x:c r="M130" s="112" t="n">
        <x:f>K130*Reconciliation!$B$10*1.5</x:f>
        <x:v>0</x:v>
      </x:c>
      <x:c r="N130" s="112" t="n">
        <x:f>L130+M130</x:f>
        <x:v>175</x:v>
      </x:c>
      <x:c r="O130" s="113" t="str">
        <x:v>Hypothetical planning/setup before 4 PM; instruction assumed 4–9 PM</x:v>
      </x:c>
    </x:row>
    <x:row r="131">
      <x:c r="A131" s="106" t="n">
        <x:v>46224</x:v>
      </x:c>
      <x:c r="B131" s="107" t="str">
        <x:v>Tue</x:v>
      </x:c>
      <x:c r="C131" s="108" t="n">
        <x:v>46204</x:v>
      </x:c>
      <x:c r="D131" s="109" t="n">
        <x:v>46223</x:v>
      </x:c>
      <x:c r="E131" s="110" t="n">
        <x:v>2</x:v>
      </x:c>
      <x:c r="F131" s="110" t="n">
        <x:v>5</x:v>
      </x:c>
      <x:c r="G131" s="110" t="n">
        <x:v>0</x:v>
      </x:c>
      <x:c r="H131" s="111" t="n">
        <x:f>E131+F131-G131</x:f>
        <x:v>7</x:v>
      </x:c>
      <x:c r="I131" s="111" t="n">
        <x:f>SUMIFS($H$6:H131,$D$6:D131,D131)-H131</x:f>
        <x:v>7</x:v>
      </x:c>
      <x:c r="J131" s="111" t="n">
        <x:f>MIN(H131,MAX(0,40-I131))</x:f>
        <x:v>7</x:v>
      </x:c>
      <x:c r="K131" s="111" t="n">
        <x:f>H131-J131</x:f>
        <x:v>0</x:v>
      </x:c>
      <x:c r="L131" s="112" t="n">
        <x:f>J131*Reconciliation!$B$10</x:f>
        <x:v>175</x:v>
      </x:c>
      <x:c r="M131" s="112" t="n">
        <x:f>K131*Reconciliation!$B$10*1.5</x:f>
        <x:v>0</x:v>
      </x:c>
      <x:c r="N131" s="112" t="n">
        <x:f>L131+M131</x:f>
        <x:v>175</x:v>
      </x:c>
      <x:c r="O131" s="113" t="str">
        <x:v>Hypothetical planning/setup before 4 PM; instruction assumed 4–9 PM</x:v>
      </x:c>
    </x:row>
    <x:row r="132">
      <x:c r="A132" s="106" t="n">
        <x:v>46225</x:v>
      </x:c>
      <x:c r="B132" s="107" t="str">
        <x:v>Wed</x:v>
      </x:c>
      <x:c r="C132" s="108" t="n">
        <x:v>46204</x:v>
      </x:c>
      <x:c r="D132" s="109" t="n">
        <x:v>46223</x:v>
      </x:c>
      <x:c r="E132" s="110" t="n">
        <x:v>2</x:v>
      </x:c>
      <x:c r="F132" s="110" t="n">
        <x:v>5</x:v>
      </x:c>
      <x:c r="G132" s="110" t="n">
        <x:v>0</x:v>
      </x:c>
      <x:c r="H132" s="111" t="n">
        <x:f>E132+F132-G132</x:f>
        <x:v>7</x:v>
      </x:c>
      <x:c r="I132" s="111" t="n">
        <x:f>SUMIFS($H$6:H132,$D$6:D132,D132)-H132</x:f>
        <x:v>14</x:v>
      </x:c>
      <x:c r="J132" s="111" t="n">
        <x:f>MIN(H132,MAX(0,40-I132))</x:f>
        <x:v>7</x:v>
      </x:c>
      <x:c r="K132" s="111" t="n">
        <x:f>H132-J132</x:f>
        <x:v>0</x:v>
      </x:c>
      <x:c r="L132" s="112" t="n">
        <x:f>J132*Reconciliation!$B$10</x:f>
        <x:v>175</x:v>
      </x:c>
      <x:c r="M132" s="112" t="n">
        <x:f>K132*Reconciliation!$B$10*1.5</x:f>
        <x:v>0</x:v>
      </x:c>
      <x:c r="N132" s="112" t="n">
        <x:f>L132+M132</x:f>
        <x:v>175</x:v>
      </x:c>
      <x:c r="O132" s="113" t="str">
        <x:v>Hypothetical planning/setup before 4 PM; instruction assumed 4–9 PM</x:v>
      </x:c>
    </x:row>
    <x:row r="133">
      <x:c r="A133" s="106" t="n">
        <x:v>46226</x:v>
      </x:c>
      <x:c r="B133" s="107" t="str">
        <x:v>Thu</x:v>
      </x:c>
      <x:c r="C133" s="108" t="n">
        <x:v>46204</x:v>
      </x:c>
      <x:c r="D133" s="109" t="n">
        <x:v>46223</x:v>
      </x:c>
      <x:c r="E133" s="110" t="n">
        <x:v>2</x:v>
      </x:c>
      <x:c r="F133" s="110" t="n">
        <x:v>5</x:v>
      </x:c>
      <x:c r="G133" s="110" t="n">
        <x:v>0</x:v>
      </x:c>
      <x:c r="H133" s="111" t="n">
        <x:f>E133+F133-G133</x:f>
        <x:v>7</x:v>
      </x:c>
      <x:c r="I133" s="111" t="n">
        <x:f>SUMIFS($H$6:H133,$D$6:D133,D133)-H133</x:f>
        <x:v>21</x:v>
      </x:c>
      <x:c r="J133" s="111" t="n">
        <x:f>MIN(H133,MAX(0,40-I133))</x:f>
        <x:v>7</x:v>
      </x:c>
      <x:c r="K133" s="111" t="n">
        <x:f>H133-J133</x:f>
        <x:v>0</x:v>
      </x:c>
      <x:c r="L133" s="112" t="n">
        <x:f>J133*Reconciliation!$B$10</x:f>
        <x:v>175</x:v>
      </x:c>
      <x:c r="M133" s="112" t="n">
        <x:f>K133*Reconciliation!$B$10*1.5</x:f>
        <x:v>0</x:v>
      </x:c>
      <x:c r="N133" s="112" t="n">
        <x:f>L133+M133</x:f>
        <x:v>175</x:v>
      </x:c>
      <x:c r="O133" s="113" t="str">
        <x:v>Hypothetical planning/setup before 4 PM; instruction assumed 4–9 PM</x:v>
      </x:c>
    </x:row>
    <x:row r="134">
      <x:c r="A134" s="106" t="n">
        <x:v>46227</x:v>
      </x:c>
      <x:c r="B134" s="107" t="str">
        <x:v>Fri</x:v>
      </x:c>
      <x:c r="C134" s="108" t="n">
        <x:v>46204</x:v>
      </x:c>
      <x:c r="D134" s="109" t="n">
        <x:v>46223</x:v>
      </x:c>
      <x:c r="E134" s="110" t="n">
        <x:v>2</x:v>
      </x:c>
      <x:c r="F134" s="110" t="n">
        <x:v>5</x:v>
      </x:c>
      <x:c r="G134" s="110" t="n">
        <x:v>0</x:v>
      </x:c>
      <x:c r="H134" s="111" t="n">
        <x:f>E134+F134-G134</x:f>
        <x:v>7</x:v>
      </x:c>
      <x:c r="I134" s="111" t="n">
        <x:f>SUMIFS($H$6:H134,$D$6:D134,D134)-H134</x:f>
        <x:v>28</x:v>
      </x:c>
      <x:c r="J134" s="111" t="n">
        <x:f>MIN(H134,MAX(0,40-I134))</x:f>
        <x:v>7</x:v>
      </x:c>
      <x:c r="K134" s="111" t="n">
        <x:f>H134-J134</x:f>
        <x:v>0</x:v>
      </x:c>
      <x:c r="L134" s="112" t="n">
        <x:f>J134*Reconciliation!$B$10</x:f>
        <x:v>175</x:v>
      </x:c>
      <x:c r="M134" s="112" t="n">
        <x:f>K134*Reconciliation!$B$10*1.5</x:f>
        <x:v>0</x:v>
      </x:c>
      <x:c r="N134" s="112" t="n">
        <x:f>L134+M134</x:f>
        <x:v>175</x:v>
      </x:c>
      <x:c r="O134" s="113" t="str">
        <x:v>Hypothetical planning/setup before 4 PM; instruction assumed 4–9 PM</x:v>
      </x:c>
    </x:row>
    <x:row r="135">
      <x:c r="A135" s="106" t="n">
        <x:v>46230</x:v>
      </x:c>
      <x:c r="B135" s="107" t="str">
        <x:v>Mon</x:v>
      </x:c>
      <x:c r="C135" s="108" t="n">
        <x:v>46204</x:v>
      </x:c>
      <x:c r="D135" s="109" t="n">
        <x:v>46230</x:v>
      </x:c>
      <x:c r="E135" s="110" t="n">
        <x:v>2</x:v>
      </x:c>
      <x:c r="F135" s="110" t="n">
        <x:v>5</x:v>
      </x:c>
      <x:c r="G135" s="110" t="n">
        <x:v>0</x:v>
      </x:c>
      <x:c r="H135" s="111" t="n">
        <x:f>E135+F135-G135</x:f>
        <x:v>7</x:v>
      </x:c>
      <x:c r="I135" s="111" t="n">
        <x:f>SUMIFS($H$6:H135,$D$6:D135,D135)-H135</x:f>
        <x:v>0</x:v>
      </x:c>
      <x:c r="J135" s="111" t="n">
        <x:f>MIN(H135,MAX(0,40-I135))</x:f>
        <x:v>7</x:v>
      </x:c>
      <x:c r="K135" s="111" t="n">
        <x:f>H135-J135</x:f>
        <x:v>0</x:v>
      </x:c>
      <x:c r="L135" s="112" t="n">
        <x:f>J135*Reconciliation!$B$10</x:f>
        <x:v>175</x:v>
      </x:c>
      <x:c r="M135" s="112" t="n">
        <x:f>K135*Reconciliation!$B$10*1.5</x:f>
        <x:v>0</x:v>
      </x:c>
      <x:c r="N135" s="112" t="n">
        <x:f>L135+M135</x:f>
        <x:v>175</x:v>
      </x:c>
      <x:c r="O135" s="113" t="str">
        <x:v>Hypothetical planning/setup before 4 PM; instruction assumed 4–9 PM</x:v>
      </x:c>
    </x:row>
    <x:row r="136">
      <x:c r="A136" s="106" t="n">
        <x:v>46231</x:v>
      </x:c>
      <x:c r="B136" s="107" t="str">
        <x:v>Tue</x:v>
      </x:c>
      <x:c r="C136" s="108" t="n">
        <x:v>46204</x:v>
      </x:c>
      <x:c r="D136" s="109" t="n">
        <x:v>46230</x:v>
      </x:c>
      <x:c r="E136" s="110" t="n">
        <x:v>1.75</x:v>
      </x:c>
      <x:c r="F136" s="110" t="n">
        <x:v>5</x:v>
      </x:c>
      <x:c r="G136" s="110" t="n">
        <x:v>0</x:v>
      </x:c>
      <x:c r="H136" s="111" t="n">
        <x:f>E136+F136-G136</x:f>
        <x:v>6.75</x:v>
      </x:c>
      <x:c r="I136" s="111" t="n">
        <x:f>SUMIFS($H$6:H136,$D$6:D136,D136)-H136</x:f>
        <x:v>7</x:v>
      </x:c>
      <x:c r="J136" s="111" t="n">
        <x:f>MIN(H136,MAX(0,40-I136))</x:f>
        <x:v>6.75</x:v>
      </x:c>
      <x:c r="K136" s="111" t="n">
        <x:f>H136-J136</x:f>
        <x:v>0</x:v>
      </x:c>
      <x:c r="L136" s="112" t="n">
        <x:f>J136*Reconciliation!$B$10</x:f>
        <x:v>168.75</x:v>
      </x:c>
      <x:c r="M136" s="112" t="n">
        <x:f>K136*Reconciliation!$B$10*1.5</x:f>
        <x:v>0</x:v>
      </x:c>
      <x:c r="N136" s="112" t="n">
        <x:f>L136+M136</x:f>
        <x:v>168.75</x:v>
      </x:c>
      <x:c r="O136" s="113" t="str">
        <x:v>Hypothetical planning/setup before 4 PM; instruction assumed 4–9 PM</x:v>
      </x:c>
    </x:row>
    <x:row r="137">
      <x:c r="A137" s="106" t="n">
        <x:v>46232</x:v>
      </x:c>
      <x:c r="B137" s="107" t="str">
        <x:v>Wed</x:v>
      </x:c>
      <x:c r="C137" s="108" t="n">
        <x:v>46204</x:v>
      </x:c>
      <x:c r="D137" s="109" t="n">
        <x:v>46230</x:v>
      </x:c>
      <x:c r="E137" s="110" t="n">
        <x:v>1.75</x:v>
      </x:c>
      <x:c r="F137" s="110" t="n">
        <x:v>5</x:v>
      </x:c>
      <x:c r="G137" s="110" t="n">
        <x:v>0</x:v>
      </x:c>
      <x:c r="H137" s="111" t="n">
        <x:f>E137+F137-G137</x:f>
        <x:v>6.75</x:v>
      </x:c>
      <x:c r="I137" s="111" t="n">
        <x:f>SUMIFS($H$6:H137,$D$6:D137,D137)-H137</x:f>
        <x:v>13.75</x:v>
      </x:c>
      <x:c r="J137" s="111" t="n">
        <x:f>MIN(H137,MAX(0,40-I137))</x:f>
        <x:v>6.75</x:v>
      </x:c>
      <x:c r="K137" s="111" t="n">
        <x:f>H137-J137</x:f>
        <x:v>0</x:v>
      </x:c>
      <x:c r="L137" s="112" t="n">
        <x:f>J137*Reconciliation!$B$10</x:f>
        <x:v>168.75</x:v>
      </x:c>
      <x:c r="M137" s="112" t="n">
        <x:f>K137*Reconciliation!$B$10*1.5</x:f>
        <x:v>0</x:v>
      </x:c>
      <x:c r="N137" s="112" t="n">
        <x:f>L137+M137</x:f>
        <x:v>168.75</x:v>
      </x:c>
      <x:c r="O137" s="113" t="str">
        <x:v>Hypothetical planning/setup before 4 PM; instruction assumed 4–9 PM</x:v>
      </x:c>
    </x:row>
    <x:row r="138">
      <x:c r="A138" s="106" t="n">
        <x:v>46233</x:v>
      </x:c>
      <x:c r="B138" s="107" t="str">
        <x:v>Thu</x:v>
      </x:c>
      <x:c r="C138" s="108" t="n">
        <x:v>46204</x:v>
      </x:c>
      <x:c r="D138" s="109" t="n">
        <x:v>46230</x:v>
      </x:c>
      <x:c r="E138" s="110" t="n">
        <x:v>1.75</x:v>
      </x:c>
      <x:c r="F138" s="110" t="n">
        <x:v>5</x:v>
      </x:c>
      <x:c r="G138" s="110" t="n">
        <x:v>0</x:v>
      </x:c>
      <x:c r="H138" s="111" t="n">
        <x:f>E138+F138-G138</x:f>
        <x:v>6.75</x:v>
      </x:c>
      <x:c r="I138" s="111" t="n">
        <x:f>SUMIFS($H$6:H138,$D$6:D138,D138)-H138</x:f>
        <x:v>20.5</x:v>
      </x:c>
      <x:c r="J138" s="111" t="n">
        <x:f>MIN(H138,MAX(0,40-I138))</x:f>
        <x:v>6.75</x:v>
      </x:c>
      <x:c r="K138" s="111" t="n">
        <x:f>H138-J138</x:f>
        <x:v>0</x:v>
      </x:c>
      <x:c r="L138" s="112" t="n">
        <x:f>J138*Reconciliation!$B$10</x:f>
        <x:v>168.75</x:v>
      </x:c>
      <x:c r="M138" s="112" t="n">
        <x:f>K138*Reconciliation!$B$10*1.5</x:f>
        <x:v>0</x:v>
      </x:c>
      <x:c r="N138" s="112" t="n">
        <x:f>L138+M138</x:f>
        <x:v>168.75</x:v>
      </x:c>
      <x:c r="O138" s="113" t="str">
        <x:v>Hypothetical planning/setup before 4 PM; instruction assumed 4–9 PM</x:v>
      </x:c>
    </x:row>
    <x:row r="139">
      <x:c r="A139" s="114" t="n">
        <x:v>46234</x:v>
      </x:c>
      <x:c r="B139" s="115" t="str">
        <x:v>Fri</x:v>
      </x:c>
      <x:c r="C139" s="116" t="n">
        <x:v>46204</x:v>
      </x:c>
      <x:c r="D139" s="117" t="n">
        <x:v>46230</x:v>
      </x:c>
      <x:c r="E139" s="118" t="n">
        <x:v>1.75</x:v>
      </x:c>
      <x:c r="F139" s="118" t="n">
        <x:v>5</x:v>
      </x:c>
      <x:c r="G139" s="118" t="n">
        <x:v>0</x:v>
      </x:c>
      <x:c r="H139" s="119" t="n">
        <x:f>E139+F139-G139</x:f>
        <x:v>6.75</x:v>
      </x:c>
      <x:c r="I139" s="119" t="n">
        <x:f>SUMIFS($H$6:H139,$D$6:D139,D139)-H139</x:f>
        <x:v>27.25</x:v>
      </x:c>
      <x:c r="J139" s="119" t="n">
        <x:f>MIN(H139,MAX(0,40-I139))</x:f>
        <x:v>6.75</x:v>
      </x:c>
      <x:c r="K139" s="119" t="n">
        <x:f>H139-J139</x:f>
        <x:v>0</x:v>
      </x:c>
      <x:c r="L139" s="120" t="n">
        <x:f>J139*Reconciliation!$B$10</x:f>
        <x:v>168.75</x:v>
      </x:c>
      <x:c r="M139" s="120" t="n">
        <x:f>K139*Reconciliation!$B$10*1.5</x:f>
        <x:v>0</x:v>
      </x:c>
      <x:c r="N139" s="120" t="n">
        <x:f>L139+M139</x:f>
        <x:v>168.75</x:v>
      </x:c>
      <x:c r="O139" s="121" t="str">
        <x:v>Hypothetical planning/setup before 4 PM; instruction assumed 4–9 PM</x:v>
      </x:c>
    </x:row>
  </x:sheetData>
  <x:mergeCells>
    <x:mergeCell ref="A2:O2"/>
    <x:mergeCell ref="A3:O3"/>
  </x:mergeCells>
  <x:conditionalFormatting sqref="K6:K139">
    <x:cfRule type="cellIs" dxfId="1" priority="1" operator="greaterThan">
      <x:formula>0</x:formula>
    </x:cfRule>
  </x:conditionalFormatting>
  <x:pageMargins left="0.7" right="0.7" top="0.75" bottom="0.75" header="0.3" footer="0.3"/>
</x:worksheet>
</file>