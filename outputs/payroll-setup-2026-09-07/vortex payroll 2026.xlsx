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immy_mac/Desktop/code/vortex/outputs/payroll-setup-2026-09-07/"/>
    </mc:Choice>
  </mc:AlternateContent>
  <xr:revisionPtr revIDLastSave="0" documentId="13_ncr:1_{4CDF7C77-36DB-D646-9720-6CE0A1CFB20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mployee 01 Reconciliation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6" i="2" l="1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D19" i="1"/>
  <c r="K3" i="2" l="1"/>
  <c r="L3" i="2" s="1"/>
  <c r="M3" i="2" s="1"/>
  <c r="K5" i="2"/>
  <c r="L5" i="2" s="1"/>
  <c r="N5" i="2" s="1"/>
  <c r="K7" i="2"/>
  <c r="L7" i="2" s="1"/>
  <c r="N7" i="2" s="1"/>
  <c r="K9" i="2"/>
  <c r="L9" i="2" s="1"/>
  <c r="N9" i="2" s="1"/>
  <c r="K11" i="2"/>
  <c r="L11" i="2" s="1"/>
  <c r="M11" i="2" s="1"/>
  <c r="K13" i="2"/>
  <c r="L13" i="2" s="1"/>
  <c r="N13" i="2" s="1"/>
  <c r="K15" i="2"/>
  <c r="L15" i="2" s="1"/>
  <c r="N15" i="2" s="1"/>
  <c r="K17" i="2"/>
  <c r="L17" i="2" s="1"/>
  <c r="N17" i="2" s="1"/>
  <c r="K19" i="2"/>
  <c r="L19" i="2" s="1"/>
  <c r="N19" i="2" s="1"/>
  <c r="K21" i="2"/>
  <c r="L21" i="2" s="1"/>
  <c r="N21" i="2" s="1"/>
  <c r="K23" i="2"/>
  <c r="L23" i="2" s="1"/>
  <c r="N23" i="2" s="1"/>
  <c r="K25" i="2"/>
  <c r="L25" i="2" s="1"/>
  <c r="N25" i="2" s="1"/>
  <c r="K27" i="2"/>
  <c r="L27" i="2" s="1"/>
  <c r="K29" i="2"/>
  <c r="L29" i="2" s="1"/>
  <c r="N29" i="2" s="1"/>
  <c r="K31" i="2"/>
  <c r="L31" i="2" s="1"/>
  <c r="N31" i="2" s="1"/>
  <c r="K33" i="2"/>
  <c r="L33" i="2" s="1"/>
  <c r="N33" i="2" s="1"/>
  <c r="K35" i="2"/>
  <c r="L35" i="2" s="1"/>
  <c r="N35" i="2" s="1"/>
  <c r="K37" i="2"/>
  <c r="L37" i="2" s="1"/>
  <c r="N37" i="2" s="1"/>
  <c r="K39" i="2"/>
  <c r="L39" i="2" s="1"/>
  <c r="N39" i="2" s="1"/>
  <c r="K41" i="2"/>
  <c r="L41" i="2" s="1"/>
  <c r="N41" i="2" s="1"/>
  <c r="K43" i="2"/>
  <c r="L43" i="2" s="1"/>
  <c r="N43" i="2" s="1"/>
  <c r="K45" i="2"/>
  <c r="L45" i="2" s="1"/>
  <c r="N45" i="2" s="1"/>
  <c r="K47" i="2"/>
  <c r="L47" i="2" s="1"/>
  <c r="N47" i="2" s="1"/>
  <c r="K49" i="2"/>
  <c r="L49" i="2" s="1"/>
  <c r="M49" i="2" s="1"/>
  <c r="K51" i="2"/>
  <c r="L51" i="2" s="1"/>
  <c r="N51" i="2" s="1"/>
  <c r="K53" i="2"/>
  <c r="L53" i="2" s="1"/>
  <c r="N53" i="2" s="1"/>
  <c r="K55" i="2"/>
  <c r="L55" i="2" s="1"/>
  <c r="N55" i="2" s="1"/>
  <c r="K57" i="2"/>
  <c r="L57" i="2" s="1"/>
  <c r="N57" i="2" s="1"/>
  <c r="K59" i="2"/>
  <c r="L59" i="2" s="1"/>
  <c r="N59" i="2" s="1"/>
  <c r="K61" i="2"/>
  <c r="L61" i="2" s="1"/>
  <c r="N61" i="2" s="1"/>
  <c r="K63" i="2"/>
  <c r="L63" i="2" s="1"/>
  <c r="N63" i="2" s="1"/>
  <c r="K65" i="2"/>
  <c r="L65" i="2" s="1"/>
  <c r="N65" i="2" s="1"/>
  <c r="K67" i="2"/>
  <c r="L67" i="2" s="1"/>
  <c r="N67" i="2" s="1"/>
  <c r="K69" i="2"/>
  <c r="L69" i="2" s="1"/>
  <c r="N69" i="2" s="1"/>
  <c r="K71" i="2"/>
  <c r="L71" i="2" s="1"/>
  <c r="M71" i="2" s="1"/>
  <c r="K73" i="2"/>
  <c r="L73" i="2" s="1"/>
  <c r="N73" i="2" s="1"/>
  <c r="K75" i="2"/>
  <c r="L75" i="2" s="1"/>
  <c r="N75" i="2" s="1"/>
  <c r="K77" i="2"/>
  <c r="L77" i="2" s="1"/>
  <c r="N77" i="2" s="1"/>
  <c r="K79" i="2"/>
  <c r="L79" i="2" s="1"/>
  <c r="N79" i="2" s="1"/>
  <c r="K81" i="2"/>
  <c r="L81" i="2" s="1"/>
  <c r="N81" i="2" s="1"/>
  <c r="K83" i="2"/>
  <c r="L83" i="2" s="1"/>
  <c r="N83" i="2" s="1"/>
  <c r="K85" i="2"/>
  <c r="L85" i="2" s="1"/>
  <c r="N85" i="2" s="1"/>
  <c r="K87" i="2"/>
  <c r="L87" i="2" s="1"/>
  <c r="N87" i="2" s="1"/>
  <c r="K89" i="2"/>
  <c r="L89" i="2" s="1"/>
  <c r="N89" i="2" s="1"/>
  <c r="K91" i="2"/>
  <c r="L91" i="2" s="1"/>
  <c r="N91" i="2" s="1"/>
  <c r="K93" i="2"/>
  <c r="L93" i="2" s="1"/>
  <c r="N93" i="2" s="1"/>
  <c r="K95" i="2"/>
  <c r="L95" i="2" s="1"/>
  <c r="N95" i="2" s="1"/>
  <c r="K97" i="2"/>
  <c r="L97" i="2" s="1"/>
  <c r="N97" i="2" s="1"/>
  <c r="K99" i="2"/>
  <c r="L99" i="2" s="1"/>
  <c r="N99" i="2" s="1"/>
  <c r="K101" i="2"/>
  <c r="L101" i="2" s="1"/>
  <c r="N101" i="2" s="1"/>
  <c r="K103" i="2"/>
  <c r="L103" i="2" s="1"/>
  <c r="N103" i="2" s="1"/>
  <c r="K105" i="2"/>
  <c r="L105" i="2" s="1"/>
  <c r="N105" i="2" s="1"/>
  <c r="K107" i="2"/>
  <c r="L107" i="2" s="1"/>
  <c r="N107" i="2" s="1"/>
  <c r="K109" i="2"/>
  <c r="L109" i="2" s="1"/>
  <c r="N109" i="2" s="1"/>
  <c r="K111" i="2"/>
  <c r="L111" i="2" s="1"/>
  <c r="N111" i="2" s="1"/>
  <c r="K113" i="2"/>
  <c r="L113" i="2" s="1"/>
  <c r="N113" i="2" s="1"/>
  <c r="K115" i="2"/>
  <c r="L115" i="2" s="1"/>
  <c r="N115" i="2" s="1"/>
  <c r="K117" i="2"/>
  <c r="L117" i="2" s="1"/>
  <c r="N117" i="2" s="1"/>
  <c r="K119" i="2"/>
  <c r="L119" i="2" s="1"/>
  <c r="N119" i="2" s="1"/>
  <c r="K121" i="2"/>
  <c r="L121" i="2" s="1"/>
  <c r="N121" i="2" s="1"/>
  <c r="K123" i="2"/>
  <c r="L123" i="2" s="1"/>
  <c r="N123" i="2" s="1"/>
  <c r="K125" i="2"/>
  <c r="L125" i="2" s="1"/>
  <c r="N125" i="2" s="1"/>
  <c r="K127" i="2"/>
  <c r="L127" i="2" s="1"/>
  <c r="N127" i="2" s="1"/>
  <c r="K129" i="2"/>
  <c r="L129" i="2" s="1"/>
  <c r="N129" i="2" s="1"/>
  <c r="K131" i="2"/>
  <c r="L131" i="2" s="1"/>
  <c r="N131" i="2" s="1"/>
  <c r="K133" i="2"/>
  <c r="L133" i="2" s="1"/>
  <c r="N133" i="2" s="1"/>
  <c r="K135" i="2"/>
  <c r="L135" i="2" s="1"/>
  <c r="N135" i="2" s="1"/>
  <c r="K4" i="2"/>
  <c r="L4" i="2" s="1"/>
  <c r="N4" i="2" s="1"/>
  <c r="K6" i="2"/>
  <c r="L6" i="2" s="1"/>
  <c r="N6" i="2" s="1"/>
  <c r="K8" i="2"/>
  <c r="L8" i="2" s="1"/>
  <c r="N8" i="2" s="1"/>
  <c r="K10" i="2"/>
  <c r="L10" i="2" s="1"/>
  <c r="N10" i="2" s="1"/>
  <c r="K12" i="2"/>
  <c r="L12" i="2" s="1"/>
  <c r="N12" i="2" s="1"/>
  <c r="K14" i="2"/>
  <c r="L14" i="2" s="1"/>
  <c r="N14" i="2" s="1"/>
  <c r="K16" i="2"/>
  <c r="L16" i="2" s="1"/>
  <c r="N16" i="2" s="1"/>
  <c r="K18" i="2"/>
  <c r="L18" i="2" s="1"/>
  <c r="N18" i="2" s="1"/>
  <c r="K20" i="2"/>
  <c r="L20" i="2" s="1"/>
  <c r="N20" i="2" s="1"/>
  <c r="K22" i="2"/>
  <c r="L22" i="2" s="1"/>
  <c r="N22" i="2" s="1"/>
  <c r="K24" i="2"/>
  <c r="L24" i="2" s="1"/>
  <c r="N24" i="2" s="1"/>
  <c r="K26" i="2"/>
  <c r="L26" i="2" s="1"/>
  <c r="N26" i="2" s="1"/>
  <c r="K28" i="2"/>
  <c r="L28" i="2" s="1"/>
  <c r="N28" i="2" s="1"/>
  <c r="K30" i="2"/>
  <c r="L30" i="2" s="1"/>
  <c r="N30" i="2" s="1"/>
  <c r="K32" i="2"/>
  <c r="L32" i="2" s="1"/>
  <c r="N32" i="2" s="1"/>
  <c r="K34" i="2"/>
  <c r="L34" i="2" s="1"/>
  <c r="N34" i="2" s="1"/>
  <c r="K36" i="2"/>
  <c r="L36" i="2" s="1"/>
  <c r="N36" i="2" s="1"/>
  <c r="K38" i="2"/>
  <c r="L38" i="2" s="1"/>
  <c r="N38" i="2" s="1"/>
  <c r="K40" i="2"/>
  <c r="L40" i="2" s="1"/>
  <c r="N40" i="2" s="1"/>
  <c r="K42" i="2"/>
  <c r="L42" i="2" s="1"/>
  <c r="N42" i="2" s="1"/>
  <c r="K44" i="2"/>
  <c r="L44" i="2" s="1"/>
  <c r="N44" i="2" s="1"/>
  <c r="K46" i="2"/>
  <c r="L46" i="2" s="1"/>
  <c r="N46" i="2" s="1"/>
  <c r="K48" i="2"/>
  <c r="L48" i="2" s="1"/>
  <c r="N48" i="2" s="1"/>
  <c r="K50" i="2"/>
  <c r="L50" i="2" s="1"/>
  <c r="N50" i="2" s="1"/>
  <c r="K52" i="2"/>
  <c r="L52" i="2" s="1"/>
  <c r="N52" i="2" s="1"/>
  <c r="K54" i="2"/>
  <c r="L54" i="2" s="1"/>
  <c r="N54" i="2" s="1"/>
  <c r="K56" i="2"/>
  <c r="L56" i="2" s="1"/>
  <c r="N56" i="2" s="1"/>
  <c r="K58" i="2"/>
  <c r="L58" i="2" s="1"/>
  <c r="N58" i="2" s="1"/>
  <c r="K60" i="2"/>
  <c r="L60" i="2" s="1"/>
  <c r="N60" i="2" s="1"/>
  <c r="K62" i="2"/>
  <c r="L62" i="2" s="1"/>
  <c r="N62" i="2" s="1"/>
  <c r="K64" i="2"/>
  <c r="L64" i="2" s="1"/>
  <c r="N64" i="2" s="1"/>
  <c r="K66" i="2"/>
  <c r="L66" i="2" s="1"/>
  <c r="N66" i="2" s="1"/>
  <c r="K68" i="2"/>
  <c r="L68" i="2" s="1"/>
  <c r="N68" i="2" s="1"/>
  <c r="K70" i="2"/>
  <c r="L70" i="2" s="1"/>
  <c r="N70" i="2" s="1"/>
  <c r="K72" i="2"/>
  <c r="L72" i="2" s="1"/>
  <c r="N72" i="2" s="1"/>
  <c r="K74" i="2"/>
  <c r="L74" i="2" s="1"/>
  <c r="N74" i="2" s="1"/>
  <c r="K76" i="2"/>
  <c r="L76" i="2" s="1"/>
  <c r="N76" i="2" s="1"/>
  <c r="K78" i="2"/>
  <c r="L78" i="2" s="1"/>
  <c r="N78" i="2" s="1"/>
  <c r="K80" i="2"/>
  <c r="L80" i="2" s="1"/>
  <c r="N80" i="2" s="1"/>
  <c r="K82" i="2"/>
  <c r="L82" i="2" s="1"/>
  <c r="N82" i="2" s="1"/>
  <c r="K84" i="2"/>
  <c r="L84" i="2" s="1"/>
  <c r="N84" i="2" s="1"/>
  <c r="K86" i="2"/>
  <c r="L86" i="2" s="1"/>
  <c r="N86" i="2" s="1"/>
  <c r="K88" i="2"/>
  <c r="L88" i="2" s="1"/>
  <c r="N88" i="2" s="1"/>
  <c r="K90" i="2"/>
  <c r="L90" i="2" s="1"/>
  <c r="N90" i="2" s="1"/>
  <c r="K92" i="2"/>
  <c r="L92" i="2" s="1"/>
  <c r="M92" i="2" s="1"/>
  <c r="K94" i="2"/>
  <c r="L94" i="2" s="1"/>
  <c r="N94" i="2" s="1"/>
  <c r="K96" i="2"/>
  <c r="L96" i="2" s="1"/>
  <c r="N96" i="2" s="1"/>
  <c r="K98" i="2"/>
  <c r="L98" i="2" s="1"/>
  <c r="N98" i="2" s="1"/>
  <c r="K100" i="2"/>
  <c r="L100" i="2" s="1"/>
  <c r="N100" i="2" s="1"/>
  <c r="K102" i="2"/>
  <c r="L102" i="2" s="1"/>
  <c r="N102" i="2" s="1"/>
  <c r="K104" i="2"/>
  <c r="L104" i="2" s="1"/>
  <c r="N104" i="2" s="1"/>
  <c r="K106" i="2"/>
  <c r="L106" i="2" s="1"/>
  <c r="N106" i="2" s="1"/>
  <c r="K108" i="2"/>
  <c r="L108" i="2" s="1"/>
  <c r="N108" i="2" s="1"/>
  <c r="K110" i="2"/>
  <c r="L110" i="2" s="1"/>
  <c r="N110" i="2" s="1"/>
  <c r="K112" i="2"/>
  <c r="L112" i="2" s="1"/>
  <c r="N112" i="2" s="1"/>
  <c r="K114" i="2"/>
  <c r="L114" i="2" s="1"/>
  <c r="M114" i="2" s="1"/>
  <c r="K116" i="2"/>
  <c r="L116" i="2" s="1"/>
  <c r="N116" i="2" s="1"/>
  <c r="K118" i="2"/>
  <c r="L118" i="2" s="1"/>
  <c r="N118" i="2" s="1"/>
  <c r="K120" i="2"/>
  <c r="L120" i="2" s="1"/>
  <c r="N120" i="2" s="1"/>
  <c r="K122" i="2"/>
  <c r="L122" i="2" s="1"/>
  <c r="N122" i="2" s="1"/>
  <c r="K124" i="2"/>
  <c r="L124" i="2" s="1"/>
  <c r="N124" i="2" s="1"/>
  <c r="K126" i="2"/>
  <c r="L126" i="2" s="1"/>
  <c r="N126" i="2" s="1"/>
  <c r="K128" i="2"/>
  <c r="L128" i="2" s="1"/>
  <c r="N128" i="2" s="1"/>
  <c r="K130" i="2"/>
  <c r="L130" i="2" s="1"/>
  <c r="N130" i="2" s="1"/>
  <c r="K132" i="2"/>
  <c r="L132" i="2" s="1"/>
  <c r="N132" i="2" s="1"/>
  <c r="K134" i="2"/>
  <c r="L134" i="2" s="1"/>
  <c r="N134" i="2" s="1"/>
  <c r="K136" i="2"/>
  <c r="L136" i="2" s="1"/>
  <c r="N136" i="2" s="1"/>
  <c r="M21" i="2" l="1"/>
  <c r="O21" i="2" s="1"/>
  <c r="M19" i="2"/>
  <c r="O19" i="2" s="1"/>
  <c r="P19" i="2" s="1"/>
  <c r="M60" i="2"/>
  <c r="O60" i="2" s="1"/>
  <c r="M32" i="2"/>
  <c r="O32" i="2" s="1"/>
  <c r="M4" i="2"/>
  <c r="O4" i="2" s="1"/>
  <c r="M28" i="2"/>
  <c r="O28" i="2" s="1"/>
  <c r="M110" i="2"/>
  <c r="O110" i="2" s="1"/>
  <c r="P110" i="2" s="1"/>
  <c r="M66" i="2"/>
  <c r="O66" i="2" s="1"/>
  <c r="P66" i="2" s="1"/>
  <c r="M129" i="2"/>
  <c r="O129" i="2" s="1"/>
  <c r="P129" i="2" s="1"/>
  <c r="M17" i="2"/>
  <c r="O17" i="2" s="1"/>
  <c r="P17" i="2" s="1"/>
  <c r="M50" i="2"/>
  <c r="O50" i="2" s="1"/>
  <c r="P50" i="2" s="1"/>
  <c r="M82" i="2"/>
  <c r="O82" i="2" s="1"/>
  <c r="P82" i="2" s="1"/>
  <c r="M136" i="2"/>
  <c r="O136" i="2" s="1"/>
  <c r="P136" i="2" s="1"/>
  <c r="M24" i="2"/>
  <c r="O24" i="2" s="1"/>
  <c r="P24" i="2" s="1"/>
  <c r="M111" i="2"/>
  <c r="O111" i="2" s="1"/>
  <c r="P111" i="2" s="1"/>
  <c r="M36" i="2"/>
  <c r="O36" i="2" s="1"/>
  <c r="P36" i="2" s="1"/>
  <c r="M54" i="2"/>
  <c r="O54" i="2" s="1"/>
  <c r="P54" i="2" s="1"/>
  <c r="M64" i="2"/>
  <c r="O64" i="2" s="1"/>
  <c r="M22" i="2"/>
  <c r="O22" i="2" s="1"/>
  <c r="P22" i="2" s="1"/>
  <c r="M26" i="2"/>
  <c r="O26" i="2" s="1"/>
  <c r="P26" i="2" s="1"/>
  <c r="M35" i="2"/>
  <c r="O35" i="2" s="1"/>
  <c r="P35" i="2" s="1"/>
  <c r="M135" i="2"/>
  <c r="O135" i="2" s="1"/>
  <c r="P135" i="2" s="1"/>
  <c r="M131" i="2"/>
  <c r="O131" i="2" s="1"/>
  <c r="P131" i="2" s="1"/>
  <c r="M10" i="2"/>
  <c r="O10" i="2" s="1"/>
  <c r="M109" i="2"/>
  <c r="O109" i="2" s="1"/>
  <c r="M107" i="2"/>
  <c r="O107" i="2" s="1"/>
  <c r="P107" i="2" s="1"/>
  <c r="M117" i="2"/>
  <c r="O117" i="2" s="1"/>
  <c r="P117" i="2" s="1"/>
  <c r="M86" i="2"/>
  <c r="O86" i="2" s="1"/>
  <c r="P86" i="2" s="1"/>
  <c r="M96" i="2"/>
  <c r="O96" i="2" s="1"/>
  <c r="P96" i="2" s="1"/>
  <c r="M118" i="2"/>
  <c r="O118" i="2" s="1"/>
  <c r="P118" i="2" s="1"/>
  <c r="M79" i="2"/>
  <c r="O79" i="2" s="1"/>
  <c r="P79" i="2" s="1"/>
  <c r="M103" i="2"/>
  <c r="O103" i="2" s="1"/>
  <c r="P103" i="2" s="1"/>
  <c r="M43" i="2"/>
  <c r="O43" i="2" s="1"/>
  <c r="P43" i="2" s="1"/>
  <c r="M30" i="2"/>
  <c r="O30" i="2" s="1"/>
  <c r="P30" i="2" s="1"/>
  <c r="M68" i="2"/>
  <c r="O68" i="2" s="1"/>
  <c r="P68" i="2" s="1"/>
  <c r="M106" i="2"/>
  <c r="O106" i="2" s="1"/>
  <c r="P106" i="2" s="1"/>
  <c r="M89" i="2"/>
  <c r="O89" i="2" s="1"/>
  <c r="P89" i="2" s="1"/>
  <c r="M84" i="2"/>
  <c r="O84" i="2" s="1"/>
  <c r="P84" i="2" s="1"/>
  <c r="M127" i="2"/>
  <c r="O127" i="2" s="1"/>
  <c r="P127" i="2" s="1"/>
  <c r="M74" i="2"/>
  <c r="O74" i="2" s="1"/>
  <c r="P74" i="2" s="1"/>
  <c r="M75" i="2"/>
  <c r="O75" i="2" s="1"/>
  <c r="P75" i="2" s="1"/>
  <c r="M70" i="2"/>
  <c r="O70" i="2" s="1"/>
  <c r="P70" i="2" s="1"/>
  <c r="M99" i="2"/>
  <c r="O99" i="2" s="1"/>
  <c r="P99" i="2" s="1"/>
  <c r="M78" i="2"/>
  <c r="O78" i="2" s="1"/>
  <c r="P78" i="2" s="1"/>
  <c r="M47" i="2"/>
  <c r="O47" i="2" s="1"/>
  <c r="M56" i="2"/>
  <c r="O56" i="2" s="1"/>
  <c r="P56" i="2" s="1"/>
  <c r="M12" i="2"/>
  <c r="O12" i="2" s="1"/>
  <c r="P12" i="2" s="1"/>
  <c r="M65" i="2"/>
  <c r="O65" i="2" s="1"/>
  <c r="P65" i="2" s="1"/>
  <c r="M90" i="2"/>
  <c r="O90" i="2" s="1"/>
  <c r="P90" i="2" s="1"/>
  <c r="M97" i="2"/>
  <c r="O97" i="2" s="1"/>
  <c r="P97" i="2" s="1"/>
  <c r="P60" i="2"/>
  <c r="P32" i="2"/>
  <c r="P4" i="2"/>
  <c r="P109" i="2"/>
  <c r="M108" i="2"/>
  <c r="O108" i="2" s="1"/>
  <c r="P108" i="2" s="1"/>
  <c r="M51" i="2"/>
  <c r="O51" i="2" s="1"/>
  <c r="P51" i="2" s="1"/>
  <c r="M133" i="2"/>
  <c r="O133" i="2" s="1"/>
  <c r="P133" i="2" s="1"/>
  <c r="M76" i="2"/>
  <c r="O76" i="2" s="1"/>
  <c r="P76" i="2" s="1"/>
  <c r="M101" i="2"/>
  <c r="O101" i="2" s="1"/>
  <c r="P101" i="2" s="1"/>
  <c r="M57" i="2"/>
  <c r="O57" i="2" s="1"/>
  <c r="P57" i="2" s="1"/>
  <c r="M83" i="2"/>
  <c r="O83" i="2" s="1"/>
  <c r="P83" i="2" s="1"/>
  <c r="M95" i="2"/>
  <c r="O95" i="2" s="1"/>
  <c r="P95" i="2" s="1"/>
  <c r="M85" i="2"/>
  <c r="O85" i="2" s="1"/>
  <c r="P85" i="2" s="1"/>
  <c r="O11" i="2"/>
  <c r="O3" i="2"/>
  <c r="P10" i="2"/>
  <c r="E12" i="1"/>
  <c r="N3" i="2"/>
  <c r="M61" i="2"/>
  <c r="O61" i="2" s="1"/>
  <c r="P61" i="2" s="1"/>
  <c r="M14" i="2"/>
  <c r="O14" i="2" s="1"/>
  <c r="P14" i="2" s="1"/>
  <c r="M113" i="2"/>
  <c r="O113" i="2" s="1"/>
  <c r="P113" i="2" s="1"/>
  <c r="M94" i="2"/>
  <c r="O94" i="2" s="1"/>
  <c r="P94" i="2" s="1"/>
  <c r="M37" i="2"/>
  <c r="O37" i="2" s="1"/>
  <c r="P37" i="2" s="1"/>
  <c r="M119" i="2"/>
  <c r="O119" i="2" s="1"/>
  <c r="P119" i="2" s="1"/>
  <c r="M62" i="2"/>
  <c r="O62" i="2" s="1"/>
  <c r="P62" i="2" s="1"/>
  <c r="M5" i="2"/>
  <c r="O5" i="2" s="1"/>
  <c r="P5" i="2" s="1"/>
  <c r="M87" i="2"/>
  <c r="O87" i="2" s="1"/>
  <c r="P87" i="2" s="1"/>
  <c r="M69" i="2"/>
  <c r="O69" i="2" s="1"/>
  <c r="P69" i="2" s="1"/>
  <c r="M81" i="2"/>
  <c r="O81" i="2" s="1"/>
  <c r="P81" i="2" s="1"/>
  <c r="O71" i="2"/>
  <c r="O49" i="2"/>
  <c r="E13" i="1"/>
  <c r="N11" i="2"/>
  <c r="O92" i="2"/>
  <c r="M132" i="2"/>
  <c r="O132" i="2" s="1"/>
  <c r="P132" i="2" s="1"/>
  <c r="N92" i="2"/>
  <c r="E17" i="1"/>
  <c r="M72" i="2"/>
  <c r="O72" i="2" s="1"/>
  <c r="P72" i="2" s="1"/>
  <c r="M122" i="2"/>
  <c r="O122" i="2" s="1"/>
  <c r="P122" i="2" s="1"/>
  <c r="M8" i="2"/>
  <c r="O8" i="2" s="1"/>
  <c r="P8" i="2" s="1"/>
  <c r="M33" i="2"/>
  <c r="O33" i="2" s="1"/>
  <c r="P33" i="2" s="1"/>
  <c r="P28" i="2"/>
  <c r="E15" i="1"/>
  <c r="N49" i="2"/>
  <c r="P21" i="2"/>
  <c r="M80" i="2"/>
  <c r="O80" i="2" s="1"/>
  <c r="P80" i="2" s="1"/>
  <c r="M23" i="2"/>
  <c r="O23" i="2" s="1"/>
  <c r="P23" i="2" s="1"/>
  <c r="M105" i="2"/>
  <c r="O105" i="2" s="1"/>
  <c r="P105" i="2" s="1"/>
  <c r="M48" i="2"/>
  <c r="O48" i="2" s="1"/>
  <c r="P48" i="2" s="1"/>
  <c r="M130" i="2"/>
  <c r="O130" i="2" s="1"/>
  <c r="P130" i="2" s="1"/>
  <c r="M73" i="2"/>
  <c r="O73" i="2" s="1"/>
  <c r="P73" i="2" s="1"/>
  <c r="M29" i="2"/>
  <c r="O29" i="2" s="1"/>
  <c r="P29" i="2" s="1"/>
  <c r="M55" i="2"/>
  <c r="O55" i="2" s="1"/>
  <c r="P55" i="2" s="1"/>
  <c r="M67" i="2"/>
  <c r="O67" i="2" s="1"/>
  <c r="M126" i="2"/>
  <c r="O126" i="2" s="1"/>
  <c r="P126" i="2" s="1"/>
  <c r="P67" i="2"/>
  <c r="M100" i="2"/>
  <c r="O100" i="2" s="1"/>
  <c r="P100" i="2" s="1"/>
  <c r="M104" i="2"/>
  <c r="O104" i="2" s="1"/>
  <c r="P104" i="2" s="1"/>
  <c r="E14" i="1"/>
  <c r="N27" i="2"/>
  <c r="M115" i="2"/>
  <c r="O115" i="2" s="1"/>
  <c r="P115" i="2" s="1"/>
  <c r="P47" i="2"/>
  <c r="M9" i="2"/>
  <c r="O9" i="2" s="1"/>
  <c r="P9" i="2" s="1"/>
  <c r="M91" i="2"/>
  <c r="O91" i="2" s="1"/>
  <c r="P91" i="2" s="1"/>
  <c r="M34" i="2"/>
  <c r="O34" i="2" s="1"/>
  <c r="P34" i="2" s="1"/>
  <c r="M116" i="2"/>
  <c r="O116" i="2" s="1"/>
  <c r="P116" i="2" s="1"/>
  <c r="M59" i="2"/>
  <c r="O59" i="2" s="1"/>
  <c r="P59" i="2" s="1"/>
  <c r="M15" i="2"/>
  <c r="O15" i="2" s="1"/>
  <c r="P15" i="2" s="1"/>
  <c r="M41" i="2"/>
  <c r="O41" i="2" s="1"/>
  <c r="P41" i="2" s="1"/>
  <c r="M53" i="2"/>
  <c r="O53" i="2" s="1"/>
  <c r="P53" i="2" s="1"/>
  <c r="M125" i="2"/>
  <c r="O125" i="2" s="1"/>
  <c r="P125" i="2" s="1"/>
  <c r="M46" i="2"/>
  <c r="O46" i="2" s="1"/>
  <c r="P46" i="2" s="1"/>
  <c r="M128" i="2"/>
  <c r="O128" i="2" s="1"/>
  <c r="P128" i="2" s="1"/>
  <c r="M16" i="2"/>
  <c r="O16" i="2" s="1"/>
  <c r="P16" i="2" s="1"/>
  <c r="M121" i="2"/>
  <c r="O121" i="2" s="1"/>
  <c r="P121" i="2" s="1"/>
  <c r="M7" i="2"/>
  <c r="O7" i="2" s="1"/>
  <c r="P7" i="2" s="1"/>
  <c r="O114" i="2"/>
  <c r="M42" i="2"/>
  <c r="O42" i="2" s="1"/>
  <c r="P42" i="2" s="1"/>
  <c r="M44" i="2"/>
  <c r="O44" i="2" s="1"/>
  <c r="P44" i="2" s="1"/>
  <c r="M58" i="2"/>
  <c r="O58" i="2" s="1"/>
  <c r="P58" i="2" s="1"/>
  <c r="M52" i="2"/>
  <c r="O52" i="2" s="1"/>
  <c r="P52" i="2" s="1"/>
  <c r="M134" i="2"/>
  <c r="O134" i="2" s="1"/>
  <c r="P134" i="2" s="1"/>
  <c r="M77" i="2"/>
  <c r="O77" i="2" s="1"/>
  <c r="P77" i="2" s="1"/>
  <c r="M20" i="2"/>
  <c r="O20" i="2" s="1"/>
  <c r="P20" i="2" s="1"/>
  <c r="M102" i="2"/>
  <c r="O102" i="2" s="1"/>
  <c r="P102" i="2" s="1"/>
  <c r="M45" i="2"/>
  <c r="O45" i="2" s="1"/>
  <c r="P45" i="2" s="1"/>
  <c r="M112" i="2"/>
  <c r="O112" i="2" s="1"/>
  <c r="P112" i="2" s="1"/>
  <c r="M27" i="2"/>
  <c r="M39" i="2"/>
  <c r="O39" i="2" s="1"/>
  <c r="P39" i="2" s="1"/>
  <c r="M124" i="2"/>
  <c r="O124" i="2" s="1"/>
  <c r="P124" i="2" s="1"/>
  <c r="M18" i="2"/>
  <c r="O18" i="2" s="1"/>
  <c r="P18" i="2" s="1"/>
  <c r="M40" i="2"/>
  <c r="O40" i="2" s="1"/>
  <c r="P40" i="2" s="1"/>
  <c r="M93" i="2"/>
  <c r="O93" i="2" s="1"/>
  <c r="P93" i="2" s="1"/>
  <c r="P64" i="2"/>
  <c r="N114" i="2"/>
  <c r="E18" i="1"/>
  <c r="N71" i="2"/>
  <c r="E16" i="1"/>
  <c r="M38" i="2"/>
  <c r="O38" i="2" s="1"/>
  <c r="P38" i="2" s="1"/>
  <c r="M120" i="2"/>
  <c r="O120" i="2" s="1"/>
  <c r="P120" i="2" s="1"/>
  <c r="M63" i="2"/>
  <c r="O63" i="2" s="1"/>
  <c r="P63" i="2" s="1"/>
  <c r="M6" i="2"/>
  <c r="O6" i="2" s="1"/>
  <c r="P6" i="2" s="1"/>
  <c r="M88" i="2"/>
  <c r="O88" i="2" s="1"/>
  <c r="P88" i="2" s="1"/>
  <c r="M31" i="2"/>
  <c r="O31" i="2" s="1"/>
  <c r="P31" i="2" s="1"/>
  <c r="M98" i="2"/>
  <c r="O98" i="2" s="1"/>
  <c r="P98" i="2" s="1"/>
  <c r="M13" i="2"/>
  <c r="O13" i="2" s="1"/>
  <c r="P13" i="2" s="1"/>
  <c r="M25" i="2"/>
  <c r="O25" i="2" s="1"/>
  <c r="P25" i="2" s="1"/>
  <c r="M123" i="2"/>
  <c r="O123" i="2" s="1"/>
  <c r="P123" i="2" s="1"/>
  <c r="F17" i="1" l="1"/>
  <c r="G17" i="1" s="1"/>
  <c r="P71" i="2"/>
  <c r="P49" i="2"/>
  <c r="P11" i="2"/>
  <c r="F14" i="1"/>
  <c r="G14" i="1" s="1"/>
  <c r="O27" i="2"/>
  <c r="P27" i="2" s="1"/>
  <c r="F12" i="1"/>
  <c r="P92" i="2"/>
  <c r="F15" i="1"/>
  <c r="G15" i="1" s="1"/>
  <c r="F16" i="1"/>
  <c r="G16" i="1" s="1"/>
  <c r="F13" i="1"/>
  <c r="G13" i="1" s="1"/>
  <c r="P114" i="2"/>
  <c r="P3" i="2"/>
  <c r="F18" i="1"/>
  <c r="G18" i="1" s="1"/>
  <c r="E19" i="1"/>
  <c r="H13" i="1" l="1"/>
  <c r="I13" i="1" s="1"/>
  <c r="J13" i="1" s="1"/>
  <c r="H16" i="1"/>
  <c r="I16" i="1" s="1"/>
  <c r="J16" i="1" s="1"/>
  <c r="H15" i="1"/>
  <c r="I15" i="1" s="1"/>
  <c r="J15" i="1" s="1"/>
  <c r="H18" i="1"/>
  <c r="I18" i="1" s="1"/>
  <c r="J18" i="1" s="1"/>
  <c r="F19" i="1"/>
  <c r="H17" i="1"/>
  <c r="I17" i="1" s="1"/>
  <c r="J17" i="1" s="1"/>
  <c r="G12" i="1"/>
  <c r="H14" i="1"/>
  <c r="I14" i="1" s="1"/>
  <c r="J14" i="1" s="1"/>
  <c r="G19" i="1" l="1"/>
  <c r="H12" i="1"/>
  <c r="H19" i="1" s="1"/>
  <c r="I12" i="1" l="1"/>
  <c r="I19" i="1" l="1"/>
  <c r="J12" i="1"/>
  <c r="J19" i="1" s="1"/>
</calcChain>
</file>

<file path=xl/sharedStrings.xml><?xml version="1.0" encoding="utf-8"?>
<sst xmlns="http://schemas.openxmlformats.org/spreadsheetml/2006/main" count="322" uniqueCount="52">
  <si>
    <t>Company</t>
  </si>
  <si>
    <t>Vortex Athletics LLC</t>
  </si>
  <si>
    <t>Source</t>
  </si>
  <si>
    <t>URL</t>
  </si>
  <si>
    <t>Employee</t>
  </si>
  <si>
    <t>Maria Alejandra Gutierrez Sanchez</t>
  </si>
  <si>
    <t>Maryland pay frequency</t>
  </si>
  <si>
    <t>https://www.labor.maryland.gov/labor/wagepay/wpfrequency.shtml</t>
  </si>
  <si>
    <t>Role</t>
  </si>
  <si>
    <t>Gymnastics instructor</t>
  </si>
  <si>
    <t>Maryland overtime</t>
  </si>
  <si>
    <t>https://labor.maryland.gov/labor/wagepay/wpotgenl.shtml</t>
  </si>
  <si>
    <t>Illustrative hourly rate</t>
  </si>
  <si>
    <t>IRS Publication 15</t>
  </si>
  <si>
    <t>https://www.irs.gov/publications/p15</t>
  </si>
  <si>
    <t>Primary instruction window</t>
  </si>
  <si>
    <t>Work period</t>
  </si>
  <si>
    <t>Payment date</t>
  </si>
  <si>
    <t>Method</t>
  </si>
  <si>
    <t>Gross paid</t>
  </si>
  <si>
    <t>Regular hours</t>
  </si>
  <si>
    <t>Overtime hours</t>
  </si>
  <si>
    <t>Hourly wages</t>
  </si>
  <si>
    <t>Example-only taxable adjustment</t>
  </si>
  <si>
    <t>Illustrated gross</t>
  </si>
  <si>
    <t>Difference</t>
  </si>
  <si>
    <t>Check 156</t>
  </si>
  <si>
    <t>ACH</t>
  </si>
  <si>
    <t>Total</t>
  </si>
  <si>
    <t>Date</t>
  </si>
  <si>
    <t>Day</t>
  </si>
  <si>
    <t>Month</t>
  </si>
  <si>
    <t>Week starting</t>
  </si>
  <si>
    <t>Planning hours</t>
  </si>
  <si>
    <t>Instruction hours</t>
  </si>
  <si>
    <t>Unpaid break</t>
  </si>
  <si>
    <t>Total hours</t>
  </si>
  <si>
    <t>Prior week hours</t>
  </si>
  <si>
    <t>Regular wages</t>
  </si>
  <si>
    <t>Overtime wages</t>
  </si>
  <si>
    <t>Total hourly wages</t>
  </si>
  <si>
    <t>Thu</t>
  </si>
  <si>
    <t>Fri</t>
  </si>
  <si>
    <t>Mon</t>
  </si>
  <si>
    <t>Tue</t>
  </si>
  <si>
    <t>Wed</t>
  </si>
  <si>
    <t>3:30PM-9:30PM Mon-Fri
8:30AM-12:30PM Sat</t>
  </si>
  <si>
    <t>Vortex Payroll Worksheet</t>
  </si>
  <si>
    <t>Maria Gutierrez Sanchez</t>
  </si>
  <si>
    <t>VORTEX DAILY TIME LOG</t>
  </si>
  <si>
    <t>Employee ID</t>
  </si>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</sst>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mm/dd/yy"/>
    <numFmt numFmtId="166" formatCode="\$#,##0.00;\(\$#,##0.00\);\-"/>
    <numFmt numFmtId="167" formatCode="&quot;Week of &quot;d\-mmm"/>
  </numFmts>
  <fonts count="10">
    <font>
      <sz val="11"/>
      <name val="Carlito"/>
    </font>
    <font>
      <b/>
      <sz val="16"/>
      <color rgb="FF17365D"/>
      <name val="Arial"/>
      <family val="2"/>
    </font>
    <font>
      <b/>
      <sz val="11"/>
      <color rgb="FF17365D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sz val="9"/>
      <color rgb="FF595959"/>
      <name val="Arial"/>
      <family val="2"/>
    </font>
    <font>
      <sz val="11"/>
      <name val="Arial"/>
      <family val="2"/>
    </font>
    <font>
      <sz val="11"/>
      <color theme="1"/>
      <name val="Carlito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double">
        <color rgb="FF17365D"/>
      </top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66" fontId="2" fillId="4" borderId="4" xfId="0" applyNumberFormat="1" applyFont="1" applyFill="1" applyBorder="1"/>
    <xf numFmtId="2" fontId="2" fillId="4" borderId="4" xfId="0" applyNumberFormat="1" applyFont="1" applyFill="1" applyBorder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17" fontId="7" fillId="0" borderId="5" xfId="0" applyNumberFormat="1" applyFont="1" applyBorder="1" applyAlignment="1">
      <alignment vertical="center"/>
    </xf>
    <xf numFmtId="165" fontId="7" fillId="0" borderId="5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6" fontId="7" fillId="0" borderId="5" xfId="0" applyNumberFormat="1" applyFont="1" applyBorder="1" applyAlignment="1">
      <alignment vertical="center"/>
    </xf>
    <xf numFmtId="2" fontId="7" fillId="0" borderId="5" xfId="0" applyNumberFormat="1" applyFont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7" fontId="7" fillId="0" borderId="6" xfId="0" applyNumberFormat="1" applyFont="1" applyBorder="1" applyAlignment="1">
      <alignment vertical="center"/>
    </xf>
    <xf numFmtId="165" fontId="7" fillId="0" borderId="6" xfId="0" applyNumberFormat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166" fontId="7" fillId="0" borderId="6" xfId="0" applyNumberFormat="1" applyFont="1" applyBorder="1" applyAlignment="1">
      <alignment vertical="center"/>
    </xf>
    <xf numFmtId="2" fontId="7" fillId="0" borderId="6" xfId="0" applyNumberFormat="1" applyFont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7" fontId="7" fillId="0" borderId="7" xfId="0" applyNumberFormat="1" applyFont="1" applyBorder="1" applyAlignment="1">
      <alignment vertical="center"/>
    </xf>
    <xf numFmtId="165" fontId="7" fillId="0" borderId="7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166" fontId="7" fillId="0" borderId="7" xfId="0" applyNumberFormat="1" applyFont="1" applyBorder="1" applyAlignment="1">
      <alignment vertical="center"/>
    </xf>
    <xf numFmtId="2" fontId="7" fillId="0" borderId="7" xfId="0" applyNumberFormat="1" applyFont="1" applyBorder="1" applyAlignment="1">
      <alignment vertical="center"/>
    </xf>
    <xf numFmtId="166" fontId="5" fillId="5" borderId="7" xfId="0" applyNumberFormat="1" applyFont="1" applyFill="1" applyBorder="1" applyAlignment="1">
      <alignment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17" fontId="2" fillId="4" borderId="4" xfId="0" applyNumberFormat="1" applyFont="1" applyFill="1" applyBorder="1"/>
    <xf numFmtId="0" fontId="2" fillId="4" borderId="4" xfId="0" applyFont="1" applyFill="1" applyBorder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vertical="top"/>
    </xf>
    <xf numFmtId="0" fontId="0" fillId="0" borderId="0" xfId="0" applyAlignment="1">
      <alignment wrapText="1"/>
    </xf>
    <xf numFmtId="0" fontId="8" fillId="0" borderId="0" xfId="0" applyFont="1"/>
    <xf numFmtId="0" fontId="9" fillId="0" borderId="8" xfId="0" applyFont="1" applyBorder="1"/>
    <xf numFmtId="17" fontId="9" fillId="0" borderId="8" xfId="0" applyNumberFormat="1" applyFont="1" applyBorder="1"/>
    <xf numFmtId="2" fontId="9" fillId="0" borderId="8" xfId="0" applyNumberFormat="1" applyFont="1" applyFill="1" applyBorder="1" applyAlignment="1">
      <alignment wrapText="1"/>
    </xf>
    <xf numFmtId="2" fontId="8" fillId="0" borderId="8" xfId="0" applyNumberFormat="1" applyFont="1" applyFill="1" applyBorder="1" applyAlignment="1">
      <alignment wrapText="1"/>
    </xf>
    <xf numFmtId="166" fontId="8" fillId="0" borderId="8" xfId="0" applyNumberFormat="1" applyFont="1" applyFill="1" applyBorder="1" applyAlignment="1">
      <alignment wrapText="1"/>
    </xf>
    <xf numFmtId="0" fontId="9" fillId="0" borderId="9" xfId="0" applyFont="1" applyBorder="1"/>
    <xf numFmtId="17" fontId="9" fillId="0" borderId="9" xfId="0" applyNumberFormat="1" applyFont="1" applyBorder="1"/>
    <xf numFmtId="2" fontId="9" fillId="0" borderId="9" xfId="0" applyNumberFormat="1" applyFont="1" applyFill="1" applyBorder="1" applyAlignment="1">
      <alignment wrapText="1"/>
    </xf>
    <xf numFmtId="2" fontId="8" fillId="0" borderId="9" xfId="0" applyNumberFormat="1" applyFont="1" applyFill="1" applyBorder="1" applyAlignment="1">
      <alignment wrapText="1"/>
    </xf>
    <xf numFmtId="166" fontId="8" fillId="0" borderId="9" xfId="0" applyNumberFormat="1" applyFont="1" applyFill="1" applyBorder="1" applyAlignment="1">
      <alignment wrapText="1"/>
    </xf>
    <xf numFmtId="0" fontId="9" fillId="0" borderId="10" xfId="0" applyFont="1" applyBorder="1"/>
    <xf numFmtId="17" fontId="9" fillId="0" borderId="10" xfId="0" applyNumberFormat="1" applyFont="1" applyBorder="1"/>
    <xf numFmtId="2" fontId="9" fillId="0" borderId="10" xfId="0" applyNumberFormat="1" applyFont="1" applyFill="1" applyBorder="1" applyAlignment="1">
      <alignment wrapText="1"/>
    </xf>
    <xf numFmtId="2" fontId="8" fillId="0" borderId="10" xfId="0" applyNumberFormat="1" applyFont="1" applyFill="1" applyBorder="1" applyAlignment="1">
      <alignment wrapText="1"/>
    </xf>
    <xf numFmtId="166" fontId="8" fillId="0" borderId="10" xfId="0" applyNumberFormat="1" applyFont="1" applyFill="1" applyBorder="1" applyAlignment="1">
      <alignment wrapText="1"/>
    </xf>
    <xf numFmtId="0" fontId="9" fillId="0" borderId="8" xfId="0" applyFont="1" applyBorder="1" applyAlignment="1">
      <alignment horizontal="center"/>
    </xf>
    <xf numFmtId="167" fontId="9" fillId="0" borderId="8" xfId="0" applyNumberFormat="1" applyFont="1" applyBorder="1" applyAlignment="1">
      <alignment horizontal="left"/>
    </xf>
    <xf numFmtId="167" fontId="9" fillId="0" borderId="9" xfId="0" applyNumberFormat="1" applyFont="1" applyBorder="1" applyAlignment="1">
      <alignment horizontal="left"/>
    </xf>
    <xf numFmtId="167" fontId="9" fillId="0" borderId="1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65" fontId="9" fillId="0" borderId="8" xfId="0" applyNumberFormat="1" applyFont="1" applyBorder="1" applyAlignment="1">
      <alignment horizontal="center"/>
    </xf>
    <xf numFmtId="165" fontId="9" fillId="0" borderId="9" xfId="0" applyNumberFormat="1" applyFont="1" applyBorder="1" applyAlignment="1">
      <alignment horizontal="center"/>
    </xf>
    <xf numFmtId="165" fontId="9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2:M20"/>
  <sheetViews>
    <sheetView showGridLines="0" tabSelected="1" zoomScale="222" zoomScaleNormal="222" workbookViewId="0">
      <pane ySplit="11" topLeftCell="A12" activePane="bottomLeft" state="frozen"/>
      <selection pane="bottomLeft" activeCell="B7" sqref="B7"/>
    </sheetView>
  </sheetViews>
  <sheetFormatPr baseColWidth="10" defaultColWidth="8.83203125" defaultRowHeight="14"/>
  <cols>
    <col min="1" max="1" width="25" customWidth="1"/>
    <col min="2" max="2" width="13" customWidth="1"/>
    <col min="3" max="3" width="12" customWidth="1"/>
    <col min="4" max="7" width="14" customWidth="1"/>
    <col min="8" max="8" width="20" customWidth="1"/>
    <col min="9" max="10" width="14" customWidth="1"/>
    <col min="12" max="12" width="23" customWidth="1"/>
    <col min="13" max="13" width="62" customWidth="1"/>
  </cols>
  <sheetData>
    <row r="2" spans="1:13" ht="26" customHeight="1">
      <c r="A2" s="29" t="s">
        <v>47</v>
      </c>
      <c r="B2" s="29"/>
      <c r="C2" s="29"/>
      <c r="D2" s="29"/>
      <c r="E2" s="29"/>
      <c r="F2" s="29"/>
      <c r="G2" s="29"/>
      <c r="H2" s="29"/>
      <c r="I2" s="29"/>
      <c r="J2" s="29"/>
      <c r="K2" s="9"/>
      <c r="L2" s="9"/>
      <c r="M2" s="9"/>
    </row>
    <row r="3" spans="1:13">
      <c r="A3" s="10"/>
      <c r="B3" s="10"/>
      <c r="C3" s="10"/>
      <c r="D3" s="10"/>
      <c r="E3" s="10"/>
      <c r="F3" s="10"/>
      <c r="G3" s="10"/>
      <c r="H3" s="10"/>
      <c r="I3" s="10"/>
      <c r="J3" s="10"/>
      <c r="K3" s="9"/>
      <c r="L3" s="9"/>
      <c r="M3" s="9"/>
    </row>
    <row r="4" spans="1:1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>
      <c r="A5" s="1" t="s">
        <v>0</v>
      </c>
      <c r="B5" s="30" t="s">
        <v>1</v>
      </c>
      <c r="C5" s="30"/>
      <c r="D5" s="30"/>
      <c r="E5" s="9"/>
      <c r="F5" s="9"/>
      <c r="G5" s="9"/>
      <c r="H5" s="9"/>
      <c r="I5" s="9"/>
      <c r="J5" s="9"/>
      <c r="K5" s="9"/>
      <c r="L5" s="3" t="s">
        <v>2</v>
      </c>
      <c r="M5" s="3" t="s">
        <v>3</v>
      </c>
    </row>
    <row r="6" spans="1:13">
      <c r="A6" s="1" t="s">
        <v>4</v>
      </c>
      <c r="B6" s="30" t="s">
        <v>5</v>
      </c>
      <c r="C6" s="30"/>
      <c r="D6" s="30"/>
      <c r="E6" s="9"/>
      <c r="F6" s="9"/>
      <c r="G6" s="9"/>
      <c r="H6" s="9"/>
      <c r="I6" s="9"/>
      <c r="J6" s="9"/>
      <c r="K6" s="9"/>
      <c r="L6" s="8" t="s">
        <v>6</v>
      </c>
      <c r="M6" s="8" t="s">
        <v>7</v>
      </c>
    </row>
    <row r="7" spans="1:13">
      <c r="A7" s="1" t="s">
        <v>50</v>
      </c>
      <c r="B7" s="63">
        <v>1</v>
      </c>
      <c r="C7" s="2"/>
      <c r="D7" s="2"/>
      <c r="E7" s="9"/>
      <c r="F7" s="9"/>
      <c r="G7" s="9"/>
      <c r="H7" s="9"/>
      <c r="I7" s="9"/>
      <c r="J7" s="9"/>
      <c r="K7" s="9"/>
      <c r="L7" s="8"/>
      <c r="M7" s="8"/>
    </row>
    <row r="8" spans="1:13">
      <c r="A8" s="1" t="s">
        <v>8</v>
      </c>
      <c r="B8" s="30" t="s">
        <v>9</v>
      </c>
      <c r="C8" s="30"/>
      <c r="D8" s="30"/>
      <c r="E8" s="9"/>
      <c r="F8" s="9"/>
      <c r="G8" s="9"/>
      <c r="H8" s="9"/>
      <c r="I8" s="9"/>
      <c r="J8" s="9"/>
      <c r="K8" s="9"/>
      <c r="L8" s="8" t="s">
        <v>10</v>
      </c>
      <c r="M8" s="8" t="s">
        <v>11</v>
      </c>
    </row>
    <row r="9" spans="1:13">
      <c r="A9" s="1" t="s">
        <v>12</v>
      </c>
      <c r="B9" s="34">
        <v>25</v>
      </c>
      <c r="C9" s="35"/>
      <c r="D9" s="35"/>
      <c r="E9" s="9"/>
      <c r="F9" s="9"/>
      <c r="G9" s="9"/>
      <c r="H9" s="9"/>
      <c r="I9" s="9"/>
      <c r="J9" s="9"/>
      <c r="K9" s="9"/>
      <c r="L9" s="8" t="s">
        <v>13</v>
      </c>
      <c r="M9" s="8" t="s">
        <v>14</v>
      </c>
    </row>
    <row r="10" spans="1:13" ht="28" customHeight="1">
      <c r="A10" s="36" t="s">
        <v>15</v>
      </c>
      <c r="B10" s="31" t="s">
        <v>46</v>
      </c>
      <c r="C10" s="30"/>
      <c r="D10" s="30"/>
      <c r="E10" s="9"/>
      <c r="F10" s="9"/>
      <c r="G10" s="9"/>
      <c r="H10" s="9"/>
      <c r="I10" s="9"/>
      <c r="J10" s="9"/>
      <c r="K10" s="9"/>
      <c r="L10" s="9"/>
      <c r="M10" s="9"/>
    </row>
    <row r="11" spans="1:13" ht="34" customHeight="1">
      <c r="A11" s="4" t="s">
        <v>16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  <c r="G11" s="5" t="s">
        <v>22</v>
      </c>
      <c r="H11" s="5" t="s">
        <v>23</v>
      </c>
      <c r="I11" s="5" t="s">
        <v>24</v>
      </c>
      <c r="J11" s="5" t="s">
        <v>25</v>
      </c>
      <c r="K11" s="9"/>
      <c r="L11" s="9"/>
      <c r="M11" s="9"/>
    </row>
    <row r="12" spans="1:13">
      <c r="A12" s="11">
        <v>46023</v>
      </c>
      <c r="B12" s="12">
        <v>46093</v>
      </c>
      <c r="C12" s="13" t="s">
        <v>26</v>
      </c>
      <c r="D12" s="14">
        <v>1000</v>
      </c>
      <c r="E12" s="15">
        <f>SUMIFS('Daily Log'!$L$3:$L$136,'Daily Log'!$E$3:$E$136,A12)</f>
        <v>40</v>
      </c>
      <c r="F12" s="15">
        <f>SUMIFS('Daily Log'!$M$3:$M$136,'Daily Log'!$E$3:$E$136,A12)</f>
        <v>0</v>
      </c>
      <c r="G12" s="14">
        <f t="shared" ref="G12:G18" si="0">E12*$B$9+F12*$B$9*1.5</f>
        <v>1000</v>
      </c>
      <c r="H12" s="16">
        <f t="shared" ref="H12:H18" si="1">D12-G12</f>
        <v>0</v>
      </c>
      <c r="I12" s="14">
        <f t="shared" ref="I12:I18" si="2">G12+H12</f>
        <v>1000</v>
      </c>
      <c r="J12" s="14">
        <f t="shared" ref="J12:J18" si="3">D12-I12</f>
        <v>0</v>
      </c>
      <c r="K12" s="9"/>
      <c r="L12" s="9"/>
      <c r="M12" s="9"/>
    </row>
    <row r="13" spans="1:13">
      <c r="A13" s="17">
        <v>46054</v>
      </c>
      <c r="B13" s="18">
        <v>46093</v>
      </c>
      <c r="C13" s="19" t="s">
        <v>26</v>
      </c>
      <c r="D13" s="20">
        <v>2000</v>
      </c>
      <c r="E13" s="21">
        <f>SUMIFS('Daily Log'!$L$3:$L$136,'Daily Log'!$E$3:$E$136,A13)</f>
        <v>80</v>
      </c>
      <c r="F13" s="21">
        <f>SUMIFS('Daily Log'!$M$3:$M$136,'Daily Log'!$E$3:$E$136,A13)</f>
        <v>0</v>
      </c>
      <c r="G13" s="20">
        <f t="shared" si="0"/>
        <v>2000</v>
      </c>
      <c r="H13" s="22">
        <f t="shared" si="1"/>
        <v>0</v>
      </c>
      <c r="I13" s="20">
        <f t="shared" si="2"/>
        <v>2000</v>
      </c>
      <c r="J13" s="20">
        <f t="shared" si="3"/>
        <v>0</v>
      </c>
      <c r="K13" s="9"/>
      <c r="L13" s="9"/>
      <c r="M13" s="9"/>
    </row>
    <row r="14" spans="1:13">
      <c r="A14" s="17">
        <v>46082</v>
      </c>
      <c r="B14" s="18">
        <v>46115</v>
      </c>
      <c r="C14" s="19" t="s">
        <v>27</v>
      </c>
      <c r="D14" s="20">
        <v>3000</v>
      </c>
      <c r="E14" s="21">
        <f>SUMIFS('Daily Log'!$L$3:$L$136,'Daily Log'!$E$3:$E$136,A14)</f>
        <v>120</v>
      </c>
      <c r="F14" s="21">
        <f>SUMIFS('Daily Log'!$M$3:$M$136,'Daily Log'!$E$3:$E$136,A14)</f>
        <v>0</v>
      </c>
      <c r="G14" s="20">
        <f t="shared" si="0"/>
        <v>3000</v>
      </c>
      <c r="H14" s="22">
        <f t="shared" si="1"/>
        <v>0</v>
      </c>
      <c r="I14" s="20">
        <f t="shared" si="2"/>
        <v>3000</v>
      </c>
      <c r="J14" s="20">
        <f t="shared" si="3"/>
        <v>0</v>
      </c>
      <c r="K14" s="9"/>
      <c r="L14" s="9"/>
      <c r="M14" s="9"/>
    </row>
    <row r="15" spans="1:13">
      <c r="A15" s="17">
        <v>46113</v>
      </c>
      <c r="B15" s="18">
        <v>46143</v>
      </c>
      <c r="C15" s="19" t="s">
        <v>27</v>
      </c>
      <c r="D15" s="20">
        <v>4700</v>
      </c>
      <c r="E15" s="21">
        <f>SUMIFS('Daily Log'!$L$3:$L$136,'Daily Log'!$E$3:$E$136,A15)</f>
        <v>176.75</v>
      </c>
      <c r="F15" s="21">
        <f>SUMIFS('Daily Log'!$M$3:$M$136,'Daily Log'!$E$3:$E$136,A15)</f>
        <v>3.25</v>
      </c>
      <c r="G15" s="20">
        <f t="shared" si="0"/>
        <v>4540.625</v>
      </c>
      <c r="H15" s="22">
        <f t="shared" si="1"/>
        <v>159.375</v>
      </c>
      <c r="I15" s="20">
        <f t="shared" si="2"/>
        <v>4700</v>
      </c>
      <c r="J15" s="20">
        <f t="shared" si="3"/>
        <v>0</v>
      </c>
      <c r="K15" s="9"/>
      <c r="L15" s="9"/>
      <c r="M15" s="9"/>
    </row>
    <row r="16" spans="1:13">
      <c r="A16" s="17">
        <v>46143</v>
      </c>
      <c r="B16" s="18">
        <v>46178</v>
      </c>
      <c r="C16" s="19" t="s">
        <v>27</v>
      </c>
      <c r="D16" s="20">
        <v>4238</v>
      </c>
      <c r="E16" s="21">
        <f>SUMIFS('Daily Log'!$L$3:$L$136,'Daily Log'!$E$3:$E$136,A16)</f>
        <v>165</v>
      </c>
      <c r="F16" s="21">
        <f>SUMIFS('Daily Log'!$M$3:$M$136,'Daily Log'!$E$3:$E$136,A16)</f>
        <v>0</v>
      </c>
      <c r="G16" s="20">
        <f t="shared" si="0"/>
        <v>4125</v>
      </c>
      <c r="H16" s="22">
        <f t="shared" si="1"/>
        <v>113</v>
      </c>
      <c r="I16" s="20">
        <f t="shared" si="2"/>
        <v>4238</v>
      </c>
      <c r="J16" s="20">
        <f t="shared" si="3"/>
        <v>0</v>
      </c>
      <c r="K16" s="9"/>
      <c r="L16" s="9"/>
      <c r="M16" s="9"/>
    </row>
    <row r="17" spans="1:13">
      <c r="A17" s="17">
        <v>46174</v>
      </c>
      <c r="B17" s="18">
        <v>46209</v>
      </c>
      <c r="C17" s="19" t="s">
        <v>27</v>
      </c>
      <c r="D17" s="20">
        <v>5000</v>
      </c>
      <c r="E17" s="21">
        <f>SUMIFS('Daily Log'!$L$3:$L$136,'Daily Log'!$E$3:$E$136,A17)</f>
        <v>177</v>
      </c>
      <c r="F17" s="21">
        <f>SUMIFS('Daily Log'!$M$3:$M$136,'Daily Log'!$E$3:$E$136,A17)</f>
        <v>13</v>
      </c>
      <c r="G17" s="20">
        <f t="shared" si="0"/>
        <v>4912.5</v>
      </c>
      <c r="H17" s="22">
        <f t="shared" si="1"/>
        <v>87.5</v>
      </c>
      <c r="I17" s="20">
        <f t="shared" si="2"/>
        <v>5000</v>
      </c>
      <c r="J17" s="20">
        <f t="shared" si="3"/>
        <v>0</v>
      </c>
      <c r="K17" s="9"/>
      <c r="L17" s="9"/>
      <c r="M17" s="9"/>
    </row>
    <row r="18" spans="1:13">
      <c r="A18" s="23">
        <v>46204</v>
      </c>
      <c r="B18" s="24">
        <v>46237</v>
      </c>
      <c r="C18" s="25" t="s">
        <v>27</v>
      </c>
      <c r="D18" s="26">
        <v>4140</v>
      </c>
      <c r="E18" s="27">
        <f>SUMIFS('Daily Log'!$L$3:$L$136,'Daily Log'!$E$3:$E$136,A18)</f>
        <v>160</v>
      </c>
      <c r="F18" s="27">
        <f>SUMIFS('Daily Log'!$M$3:$M$136,'Daily Log'!$E$3:$E$136,A18)</f>
        <v>0</v>
      </c>
      <c r="G18" s="26">
        <f t="shared" si="0"/>
        <v>4000</v>
      </c>
      <c r="H18" s="28">
        <f t="shared" si="1"/>
        <v>140</v>
      </c>
      <c r="I18" s="26">
        <f t="shared" si="2"/>
        <v>4140</v>
      </c>
      <c r="J18" s="26">
        <f t="shared" si="3"/>
        <v>0</v>
      </c>
      <c r="K18" s="9"/>
      <c r="L18" s="9"/>
      <c r="M18" s="9"/>
    </row>
    <row r="19" spans="1:13">
      <c r="A19" s="32" t="s">
        <v>28</v>
      </c>
      <c r="B19" s="32"/>
      <c r="C19" s="33"/>
      <c r="D19" s="6">
        <f t="shared" ref="D19:J19" si="4">SUM(D12:D18)</f>
        <v>24078</v>
      </c>
      <c r="E19" s="7">
        <f t="shared" si="4"/>
        <v>918.75</v>
      </c>
      <c r="F19" s="7">
        <f t="shared" si="4"/>
        <v>16.25</v>
      </c>
      <c r="G19" s="6">
        <f t="shared" si="4"/>
        <v>23578.125</v>
      </c>
      <c r="H19" s="6">
        <f t="shared" si="4"/>
        <v>499.875</v>
      </c>
      <c r="I19" s="6">
        <f t="shared" si="4"/>
        <v>24078</v>
      </c>
      <c r="J19" s="6">
        <f t="shared" si="4"/>
        <v>0</v>
      </c>
      <c r="K19" s="9"/>
      <c r="L19" s="9"/>
      <c r="M19" s="9"/>
    </row>
    <row r="20" spans="1:1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</sheetData>
  <mergeCells count="7">
    <mergeCell ref="B9:D9"/>
    <mergeCell ref="B10:D10"/>
    <mergeCell ref="A19:C19"/>
    <mergeCell ref="A2:J2"/>
    <mergeCell ref="B5:D5"/>
    <mergeCell ref="B6:D6"/>
    <mergeCell ref="B8:D8"/>
  </mergeCells>
  <conditionalFormatting sqref="J12:J19">
    <cfRule type="cellIs" dxfId="1" priority="1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136"/>
  <sheetViews>
    <sheetView showGridLines="0" zoomScale="222" zoomScaleNormal="222" workbookViewId="0">
      <selection activeCell="C2" sqref="C1:C1048576"/>
    </sheetView>
  </sheetViews>
  <sheetFormatPr baseColWidth="10" defaultColWidth="8.83203125" defaultRowHeight="14"/>
  <cols>
    <col min="1" max="1" width="24" customWidth="1"/>
    <col min="2" max="2" width="4.33203125" customWidth="1"/>
    <col min="3" max="3" width="8.83203125" style="62" customWidth="1"/>
    <col min="4" max="5" width="7" customWidth="1"/>
    <col min="6" max="6" width="15.33203125" style="58" customWidth="1"/>
    <col min="7" max="16" width="10" style="37" customWidth="1"/>
  </cols>
  <sheetData>
    <row r="1" spans="1:16" ht="26" customHeight="1">
      <c r="A1" s="29" t="s">
        <v>49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34" customHeight="1">
      <c r="A2" s="4" t="s">
        <v>29</v>
      </c>
      <c r="B2" s="4" t="s">
        <v>51</v>
      </c>
      <c r="C2" s="4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5" t="s">
        <v>20</v>
      </c>
      <c r="M2" s="5" t="s">
        <v>21</v>
      </c>
      <c r="N2" s="5" t="s">
        <v>38</v>
      </c>
      <c r="O2" s="5" t="s">
        <v>39</v>
      </c>
      <c r="P2" s="5" t="s">
        <v>40</v>
      </c>
    </row>
    <row r="3" spans="1:16" s="38" customFormat="1">
      <c r="A3" s="39" t="s">
        <v>48</v>
      </c>
      <c r="B3" s="54">
        <v>1</v>
      </c>
      <c r="C3" s="59">
        <v>46023</v>
      </c>
      <c r="D3" s="39" t="s">
        <v>41</v>
      </c>
      <c r="E3" s="40">
        <v>46023</v>
      </c>
      <c r="F3" s="55">
        <v>46020</v>
      </c>
      <c r="G3" s="41">
        <v>0</v>
      </c>
      <c r="H3" s="41">
        <v>5</v>
      </c>
      <c r="I3" s="41">
        <v>0</v>
      </c>
      <c r="J3" s="42">
        <f t="shared" ref="J3:J34" si="0">G3+H3-I3</f>
        <v>5</v>
      </c>
      <c r="K3" s="42">
        <f>SUMIFS($J$3:J3,$F$3:F3,F3)-J3</f>
        <v>0</v>
      </c>
      <c r="L3" s="42">
        <f t="shared" ref="L3:L34" si="1">MIN(J3,MAX(0,40-K3))</f>
        <v>5</v>
      </c>
      <c r="M3" s="42">
        <f t="shared" ref="M3:M34" si="2">J3-L3</f>
        <v>0</v>
      </c>
      <c r="N3" s="43">
        <f>L3*'Employee 01 Reconciliation'!$B$9</f>
        <v>125</v>
      </c>
      <c r="O3" s="43">
        <f>M3*'Employee 01 Reconciliation'!$B$9*1.5</f>
        <v>0</v>
      </c>
      <c r="P3" s="43">
        <f t="shared" ref="P3:P34" si="3">N3+O3</f>
        <v>125</v>
      </c>
    </row>
    <row r="4" spans="1:16" s="38" customFormat="1">
      <c r="A4" s="39" t="s">
        <v>48</v>
      </c>
      <c r="B4" s="54">
        <v>1</v>
      </c>
      <c r="C4" s="60">
        <v>46024</v>
      </c>
      <c r="D4" s="44" t="s">
        <v>42</v>
      </c>
      <c r="E4" s="45">
        <v>46023</v>
      </c>
      <c r="F4" s="56">
        <v>46020</v>
      </c>
      <c r="G4" s="46">
        <v>0</v>
      </c>
      <c r="H4" s="46">
        <v>5</v>
      </c>
      <c r="I4" s="46">
        <v>0</v>
      </c>
      <c r="J4" s="47">
        <f t="shared" si="0"/>
        <v>5</v>
      </c>
      <c r="K4" s="47">
        <f>SUMIFS($J$3:J4,$F$3:F4,F4)-J4</f>
        <v>5</v>
      </c>
      <c r="L4" s="47">
        <f t="shared" si="1"/>
        <v>5</v>
      </c>
      <c r="M4" s="47">
        <f t="shared" si="2"/>
        <v>0</v>
      </c>
      <c r="N4" s="48">
        <f>L4*'Employee 01 Reconciliation'!$B$9</f>
        <v>125</v>
      </c>
      <c r="O4" s="48">
        <f>M4*'Employee 01 Reconciliation'!$B$9*1.5</f>
        <v>0</v>
      </c>
      <c r="P4" s="48">
        <f t="shared" si="3"/>
        <v>125</v>
      </c>
    </row>
    <row r="5" spans="1:16" s="38" customFormat="1">
      <c r="A5" s="39" t="s">
        <v>48</v>
      </c>
      <c r="B5" s="54">
        <v>1</v>
      </c>
      <c r="C5" s="60">
        <v>46027</v>
      </c>
      <c r="D5" s="44" t="s">
        <v>43</v>
      </c>
      <c r="E5" s="45">
        <v>46023</v>
      </c>
      <c r="F5" s="56">
        <v>46027</v>
      </c>
      <c r="G5" s="46">
        <v>0</v>
      </c>
      <c r="H5" s="46">
        <v>5</v>
      </c>
      <c r="I5" s="46">
        <v>0</v>
      </c>
      <c r="J5" s="47">
        <f t="shared" si="0"/>
        <v>5</v>
      </c>
      <c r="K5" s="47">
        <f>SUMIFS($J$3:J5,$F$3:F5,F5)-J5</f>
        <v>0</v>
      </c>
      <c r="L5" s="47">
        <f t="shared" si="1"/>
        <v>5</v>
      </c>
      <c r="M5" s="47">
        <f t="shared" si="2"/>
        <v>0</v>
      </c>
      <c r="N5" s="48">
        <f>L5*'Employee 01 Reconciliation'!$B$9</f>
        <v>125</v>
      </c>
      <c r="O5" s="48">
        <f>M5*'Employee 01 Reconciliation'!$B$9*1.5</f>
        <v>0</v>
      </c>
      <c r="P5" s="48">
        <f t="shared" si="3"/>
        <v>125</v>
      </c>
    </row>
    <row r="6" spans="1:16" s="38" customFormat="1">
      <c r="A6" s="39" t="s">
        <v>48</v>
      </c>
      <c r="B6" s="54">
        <v>1</v>
      </c>
      <c r="C6" s="60">
        <v>46028</v>
      </c>
      <c r="D6" s="44" t="s">
        <v>44</v>
      </c>
      <c r="E6" s="45">
        <v>46023</v>
      </c>
      <c r="F6" s="56">
        <v>46027</v>
      </c>
      <c r="G6" s="46">
        <v>0</v>
      </c>
      <c r="H6" s="46">
        <v>5</v>
      </c>
      <c r="I6" s="46">
        <v>0</v>
      </c>
      <c r="J6" s="47">
        <f t="shared" si="0"/>
        <v>5</v>
      </c>
      <c r="K6" s="47">
        <f>SUMIFS($J$3:J6,$F$3:F6,F6)-J6</f>
        <v>5</v>
      </c>
      <c r="L6" s="47">
        <f t="shared" si="1"/>
        <v>5</v>
      </c>
      <c r="M6" s="47">
        <f t="shared" si="2"/>
        <v>0</v>
      </c>
      <c r="N6" s="48">
        <f>L6*'Employee 01 Reconciliation'!$B$9</f>
        <v>125</v>
      </c>
      <c r="O6" s="48">
        <f>M6*'Employee 01 Reconciliation'!$B$9*1.5</f>
        <v>0</v>
      </c>
      <c r="P6" s="48">
        <f t="shared" si="3"/>
        <v>125</v>
      </c>
    </row>
    <row r="7" spans="1:16" s="38" customFormat="1">
      <c r="A7" s="39" t="s">
        <v>48</v>
      </c>
      <c r="B7" s="54">
        <v>1</v>
      </c>
      <c r="C7" s="60">
        <v>46029</v>
      </c>
      <c r="D7" s="44" t="s">
        <v>45</v>
      </c>
      <c r="E7" s="45">
        <v>46023</v>
      </c>
      <c r="F7" s="56">
        <v>46027</v>
      </c>
      <c r="G7" s="46">
        <v>0</v>
      </c>
      <c r="H7" s="46">
        <v>5</v>
      </c>
      <c r="I7" s="46">
        <v>0</v>
      </c>
      <c r="J7" s="47">
        <f t="shared" si="0"/>
        <v>5</v>
      </c>
      <c r="K7" s="47">
        <f>SUMIFS($J$3:J7,$F$3:F7,F7)-J7</f>
        <v>10</v>
      </c>
      <c r="L7" s="47">
        <f t="shared" si="1"/>
        <v>5</v>
      </c>
      <c r="M7" s="47">
        <f t="shared" si="2"/>
        <v>0</v>
      </c>
      <c r="N7" s="48">
        <f>L7*'Employee 01 Reconciliation'!$B$9</f>
        <v>125</v>
      </c>
      <c r="O7" s="48">
        <f>M7*'Employee 01 Reconciliation'!$B$9*1.5</f>
        <v>0</v>
      </c>
      <c r="P7" s="48">
        <f t="shared" si="3"/>
        <v>125</v>
      </c>
    </row>
    <row r="8" spans="1:16" s="38" customFormat="1">
      <c r="A8" s="39" t="s">
        <v>48</v>
      </c>
      <c r="B8" s="54">
        <v>1</v>
      </c>
      <c r="C8" s="60">
        <v>46030</v>
      </c>
      <c r="D8" s="44" t="s">
        <v>41</v>
      </c>
      <c r="E8" s="45">
        <v>46023</v>
      </c>
      <c r="F8" s="56">
        <v>46027</v>
      </c>
      <c r="G8" s="46">
        <v>0</v>
      </c>
      <c r="H8" s="46">
        <v>5</v>
      </c>
      <c r="I8" s="46">
        <v>0</v>
      </c>
      <c r="J8" s="47">
        <f t="shared" si="0"/>
        <v>5</v>
      </c>
      <c r="K8" s="47">
        <f>SUMIFS($J$3:J8,$F$3:F8,F8)-J8</f>
        <v>15</v>
      </c>
      <c r="L8" s="47">
        <f t="shared" si="1"/>
        <v>5</v>
      </c>
      <c r="M8" s="47">
        <f t="shared" si="2"/>
        <v>0</v>
      </c>
      <c r="N8" s="48">
        <f>L8*'Employee 01 Reconciliation'!$B$9</f>
        <v>125</v>
      </c>
      <c r="O8" s="48">
        <f>M8*'Employee 01 Reconciliation'!$B$9*1.5</f>
        <v>0</v>
      </c>
      <c r="P8" s="48">
        <f t="shared" si="3"/>
        <v>125</v>
      </c>
    </row>
    <row r="9" spans="1:16" s="38" customFormat="1">
      <c r="A9" s="39" t="s">
        <v>48</v>
      </c>
      <c r="B9" s="54">
        <v>1</v>
      </c>
      <c r="C9" s="60">
        <v>46031</v>
      </c>
      <c r="D9" s="44" t="s">
        <v>42</v>
      </c>
      <c r="E9" s="45">
        <v>46023</v>
      </c>
      <c r="F9" s="56">
        <v>46027</v>
      </c>
      <c r="G9" s="46">
        <v>0</v>
      </c>
      <c r="H9" s="46">
        <v>5</v>
      </c>
      <c r="I9" s="46">
        <v>0</v>
      </c>
      <c r="J9" s="47">
        <f t="shared" si="0"/>
        <v>5</v>
      </c>
      <c r="K9" s="47">
        <f>SUMIFS($J$3:J9,$F$3:F9,F9)-J9</f>
        <v>20</v>
      </c>
      <c r="L9" s="47">
        <f t="shared" si="1"/>
        <v>5</v>
      </c>
      <c r="M9" s="47">
        <f t="shared" si="2"/>
        <v>0</v>
      </c>
      <c r="N9" s="48">
        <f>L9*'Employee 01 Reconciliation'!$B$9</f>
        <v>125</v>
      </c>
      <c r="O9" s="48">
        <f>M9*'Employee 01 Reconciliation'!$B$9*1.5</f>
        <v>0</v>
      </c>
      <c r="P9" s="48">
        <f t="shared" si="3"/>
        <v>125</v>
      </c>
    </row>
    <row r="10" spans="1:16" s="38" customFormat="1">
      <c r="A10" s="39" t="s">
        <v>48</v>
      </c>
      <c r="B10" s="54">
        <v>1</v>
      </c>
      <c r="C10" s="60">
        <v>46034</v>
      </c>
      <c r="D10" s="44" t="s">
        <v>43</v>
      </c>
      <c r="E10" s="45">
        <v>46023</v>
      </c>
      <c r="F10" s="56">
        <v>46034</v>
      </c>
      <c r="G10" s="46">
        <v>0</v>
      </c>
      <c r="H10" s="46">
        <v>5</v>
      </c>
      <c r="I10" s="46">
        <v>0</v>
      </c>
      <c r="J10" s="47">
        <f t="shared" si="0"/>
        <v>5</v>
      </c>
      <c r="K10" s="47">
        <f>SUMIFS($J$3:J10,$F$3:F10,F10)-J10</f>
        <v>0</v>
      </c>
      <c r="L10" s="47">
        <f t="shared" si="1"/>
        <v>5</v>
      </c>
      <c r="M10" s="47">
        <f t="shared" si="2"/>
        <v>0</v>
      </c>
      <c r="N10" s="48">
        <f>L10*'Employee 01 Reconciliation'!$B$9</f>
        <v>125</v>
      </c>
      <c r="O10" s="48">
        <f>M10*'Employee 01 Reconciliation'!$B$9*1.5</f>
        <v>0</v>
      </c>
      <c r="P10" s="48">
        <f t="shared" si="3"/>
        <v>125</v>
      </c>
    </row>
    <row r="11" spans="1:16" s="38" customFormat="1">
      <c r="A11" s="39" t="s">
        <v>48</v>
      </c>
      <c r="B11" s="54">
        <v>1</v>
      </c>
      <c r="C11" s="60">
        <v>46055</v>
      </c>
      <c r="D11" s="44" t="s">
        <v>43</v>
      </c>
      <c r="E11" s="45">
        <v>46054</v>
      </c>
      <c r="F11" s="56">
        <v>46055</v>
      </c>
      <c r="G11" s="46">
        <v>0</v>
      </c>
      <c r="H11" s="46">
        <v>5</v>
      </c>
      <c r="I11" s="46">
        <v>0</v>
      </c>
      <c r="J11" s="47">
        <f t="shared" si="0"/>
        <v>5</v>
      </c>
      <c r="K11" s="47">
        <f>SUMIFS($J$3:J11,$F$3:F11,F11)-J11</f>
        <v>0</v>
      </c>
      <c r="L11" s="47">
        <f t="shared" si="1"/>
        <v>5</v>
      </c>
      <c r="M11" s="47">
        <f t="shared" si="2"/>
        <v>0</v>
      </c>
      <c r="N11" s="48">
        <f>L11*'Employee 01 Reconciliation'!$B$9</f>
        <v>125</v>
      </c>
      <c r="O11" s="48">
        <f>M11*'Employee 01 Reconciliation'!$B$9*1.5</f>
        <v>0</v>
      </c>
      <c r="P11" s="48">
        <f t="shared" si="3"/>
        <v>125</v>
      </c>
    </row>
    <row r="12" spans="1:16" s="38" customFormat="1">
      <c r="A12" s="39" t="s">
        <v>48</v>
      </c>
      <c r="B12" s="54">
        <v>1</v>
      </c>
      <c r="C12" s="60">
        <v>46056</v>
      </c>
      <c r="D12" s="44" t="s">
        <v>44</v>
      </c>
      <c r="E12" s="45">
        <v>46054</v>
      </c>
      <c r="F12" s="56">
        <v>46055</v>
      </c>
      <c r="G12" s="46">
        <v>0</v>
      </c>
      <c r="H12" s="46">
        <v>5</v>
      </c>
      <c r="I12" s="46">
        <v>0</v>
      </c>
      <c r="J12" s="47">
        <f t="shared" si="0"/>
        <v>5</v>
      </c>
      <c r="K12" s="47">
        <f>SUMIFS($J$3:J12,$F$3:F12,F12)-J12</f>
        <v>5</v>
      </c>
      <c r="L12" s="47">
        <f t="shared" si="1"/>
        <v>5</v>
      </c>
      <c r="M12" s="47">
        <f t="shared" si="2"/>
        <v>0</v>
      </c>
      <c r="N12" s="48">
        <f>L12*'Employee 01 Reconciliation'!$B$9</f>
        <v>125</v>
      </c>
      <c r="O12" s="48">
        <f>M12*'Employee 01 Reconciliation'!$B$9*1.5</f>
        <v>0</v>
      </c>
      <c r="P12" s="48">
        <f t="shared" si="3"/>
        <v>125</v>
      </c>
    </row>
    <row r="13" spans="1:16" s="38" customFormat="1">
      <c r="A13" s="39" t="s">
        <v>48</v>
      </c>
      <c r="B13" s="54">
        <v>1</v>
      </c>
      <c r="C13" s="60">
        <v>46057</v>
      </c>
      <c r="D13" s="44" t="s">
        <v>45</v>
      </c>
      <c r="E13" s="45">
        <v>46054</v>
      </c>
      <c r="F13" s="56">
        <v>46055</v>
      </c>
      <c r="G13" s="46">
        <v>0</v>
      </c>
      <c r="H13" s="46">
        <v>5</v>
      </c>
      <c r="I13" s="46">
        <v>0</v>
      </c>
      <c r="J13" s="47">
        <f t="shared" si="0"/>
        <v>5</v>
      </c>
      <c r="K13" s="47">
        <f>SUMIFS($J$3:J13,$F$3:F13,F13)-J13</f>
        <v>10</v>
      </c>
      <c r="L13" s="47">
        <f t="shared" si="1"/>
        <v>5</v>
      </c>
      <c r="M13" s="47">
        <f t="shared" si="2"/>
        <v>0</v>
      </c>
      <c r="N13" s="48">
        <f>L13*'Employee 01 Reconciliation'!$B$9</f>
        <v>125</v>
      </c>
      <c r="O13" s="48">
        <f>M13*'Employee 01 Reconciliation'!$B$9*1.5</f>
        <v>0</v>
      </c>
      <c r="P13" s="48">
        <f t="shared" si="3"/>
        <v>125</v>
      </c>
    </row>
    <row r="14" spans="1:16" s="38" customFormat="1">
      <c r="A14" s="39" t="s">
        <v>48</v>
      </c>
      <c r="B14" s="54">
        <v>1</v>
      </c>
      <c r="C14" s="60">
        <v>46058</v>
      </c>
      <c r="D14" s="44" t="s">
        <v>41</v>
      </c>
      <c r="E14" s="45">
        <v>46054</v>
      </c>
      <c r="F14" s="56">
        <v>46055</v>
      </c>
      <c r="G14" s="46">
        <v>0</v>
      </c>
      <c r="H14" s="46">
        <v>5</v>
      </c>
      <c r="I14" s="46">
        <v>0</v>
      </c>
      <c r="J14" s="47">
        <f t="shared" si="0"/>
        <v>5</v>
      </c>
      <c r="K14" s="47">
        <f>SUMIFS($J$3:J14,$F$3:F14,F14)-J14</f>
        <v>15</v>
      </c>
      <c r="L14" s="47">
        <f t="shared" si="1"/>
        <v>5</v>
      </c>
      <c r="M14" s="47">
        <f t="shared" si="2"/>
        <v>0</v>
      </c>
      <c r="N14" s="48">
        <f>L14*'Employee 01 Reconciliation'!$B$9</f>
        <v>125</v>
      </c>
      <c r="O14" s="48">
        <f>M14*'Employee 01 Reconciliation'!$B$9*1.5</f>
        <v>0</v>
      </c>
      <c r="P14" s="48">
        <f t="shared" si="3"/>
        <v>125</v>
      </c>
    </row>
    <row r="15" spans="1:16" s="38" customFormat="1">
      <c r="A15" s="39" t="s">
        <v>48</v>
      </c>
      <c r="B15" s="54">
        <v>1</v>
      </c>
      <c r="C15" s="60">
        <v>46059</v>
      </c>
      <c r="D15" s="44" t="s">
        <v>42</v>
      </c>
      <c r="E15" s="45">
        <v>46054</v>
      </c>
      <c r="F15" s="56">
        <v>46055</v>
      </c>
      <c r="G15" s="46">
        <v>0</v>
      </c>
      <c r="H15" s="46">
        <v>5</v>
      </c>
      <c r="I15" s="46">
        <v>0</v>
      </c>
      <c r="J15" s="47">
        <f t="shared" si="0"/>
        <v>5</v>
      </c>
      <c r="K15" s="47">
        <f>SUMIFS($J$3:J15,$F$3:F15,F15)-J15</f>
        <v>20</v>
      </c>
      <c r="L15" s="47">
        <f t="shared" si="1"/>
        <v>5</v>
      </c>
      <c r="M15" s="47">
        <f t="shared" si="2"/>
        <v>0</v>
      </c>
      <c r="N15" s="48">
        <f>L15*'Employee 01 Reconciliation'!$B$9</f>
        <v>125</v>
      </c>
      <c r="O15" s="48">
        <f>M15*'Employee 01 Reconciliation'!$B$9*1.5</f>
        <v>0</v>
      </c>
      <c r="P15" s="48">
        <f t="shared" si="3"/>
        <v>125</v>
      </c>
    </row>
    <row r="16" spans="1:16" s="38" customFormat="1">
      <c r="A16" s="39" t="s">
        <v>48</v>
      </c>
      <c r="B16" s="54">
        <v>1</v>
      </c>
      <c r="C16" s="60">
        <v>46062</v>
      </c>
      <c r="D16" s="44" t="s">
        <v>43</v>
      </c>
      <c r="E16" s="45">
        <v>46054</v>
      </c>
      <c r="F16" s="56">
        <v>46062</v>
      </c>
      <c r="G16" s="46">
        <v>0</v>
      </c>
      <c r="H16" s="46">
        <v>5</v>
      </c>
      <c r="I16" s="46">
        <v>0</v>
      </c>
      <c r="J16" s="47">
        <f t="shared" si="0"/>
        <v>5</v>
      </c>
      <c r="K16" s="47">
        <f>SUMIFS($J$3:J16,$F$3:F16,F16)-J16</f>
        <v>0</v>
      </c>
      <c r="L16" s="47">
        <f t="shared" si="1"/>
        <v>5</v>
      </c>
      <c r="M16" s="47">
        <f t="shared" si="2"/>
        <v>0</v>
      </c>
      <c r="N16" s="48">
        <f>L16*'Employee 01 Reconciliation'!$B$9</f>
        <v>125</v>
      </c>
      <c r="O16" s="48">
        <f>M16*'Employee 01 Reconciliation'!$B$9*1.5</f>
        <v>0</v>
      </c>
      <c r="P16" s="48">
        <f t="shared" si="3"/>
        <v>125</v>
      </c>
    </row>
    <row r="17" spans="1:16" s="38" customFormat="1">
      <c r="A17" s="39" t="s">
        <v>48</v>
      </c>
      <c r="B17" s="54">
        <v>1</v>
      </c>
      <c r="C17" s="60">
        <v>46063</v>
      </c>
      <c r="D17" s="44" t="s">
        <v>44</v>
      </c>
      <c r="E17" s="45">
        <v>46054</v>
      </c>
      <c r="F17" s="56">
        <v>46062</v>
      </c>
      <c r="G17" s="46">
        <v>0</v>
      </c>
      <c r="H17" s="46">
        <v>5</v>
      </c>
      <c r="I17" s="46">
        <v>0</v>
      </c>
      <c r="J17" s="47">
        <f t="shared" si="0"/>
        <v>5</v>
      </c>
      <c r="K17" s="47">
        <f>SUMIFS($J$3:J17,$F$3:F17,F17)-J17</f>
        <v>5</v>
      </c>
      <c r="L17" s="47">
        <f t="shared" si="1"/>
        <v>5</v>
      </c>
      <c r="M17" s="47">
        <f t="shared" si="2"/>
        <v>0</v>
      </c>
      <c r="N17" s="48">
        <f>L17*'Employee 01 Reconciliation'!$B$9</f>
        <v>125</v>
      </c>
      <c r="O17" s="48">
        <f>M17*'Employee 01 Reconciliation'!$B$9*1.5</f>
        <v>0</v>
      </c>
      <c r="P17" s="48">
        <f t="shared" si="3"/>
        <v>125</v>
      </c>
    </row>
    <row r="18" spans="1:16" s="38" customFormat="1">
      <c r="A18" s="39" t="s">
        <v>48</v>
      </c>
      <c r="B18" s="54">
        <v>1</v>
      </c>
      <c r="C18" s="60">
        <v>46064</v>
      </c>
      <c r="D18" s="44" t="s">
        <v>45</v>
      </c>
      <c r="E18" s="45">
        <v>46054</v>
      </c>
      <c r="F18" s="56">
        <v>46062</v>
      </c>
      <c r="G18" s="46">
        <v>0</v>
      </c>
      <c r="H18" s="46">
        <v>5</v>
      </c>
      <c r="I18" s="46">
        <v>0</v>
      </c>
      <c r="J18" s="47">
        <f t="shared" si="0"/>
        <v>5</v>
      </c>
      <c r="K18" s="47">
        <f>SUMIFS($J$3:J18,$F$3:F18,F18)-J18</f>
        <v>10</v>
      </c>
      <c r="L18" s="47">
        <f t="shared" si="1"/>
        <v>5</v>
      </c>
      <c r="M18" s="47">
        <f t="shared" si="2"/>
        <v>0</v>
      </c>
      <c r="N18" s="48">
        <f>L18*'Employee 01 Reconciliation'!$B$9</f>
        <v>125</v>
      </c>
      <c r="O18" s="48">
        <f>M18*'Employee 01 Reconciliation'!$B$9*1.5</f>
        <v>0</v>
      </c>
      <c r="P18" s="48">
        <f t="shared" si="3"/>
        <v>125</v>
      </c>
    </row>
    <row r="19" spans="1:16" s="38" customFormat="1">
      <c r="A19" s="39" t="s">
        <v>48</v>
      </c>
      <c r="B19" s="54">
        <v>1</v>
      </c>
      <c r="C19" s="60">
        <v>46065</v>
      </c>
      <c r="D19" s="44" t="s">
        <v>41</v>
      </c>
      <c r="E19" s="45">
        <v>46054</v>
      </c>
      <c r="F19" s="56">
        <v>46062</v>
      </c>
      <c r="G19" s="46">
        <v>0</v>
      </c>
      <c r="H19" s="46">
        <v>5</v>
      </c>
      <c r="I19" s="46">
        <v>0</v>
      </c>
      <c r="J19" s="47">
        <f t="shared" si="0"/>
        <v>5</v>
      </c>
      <c r="K19" s="47">
        <f>SUMIFS($J$3:J19,$F$3:F19,F19)-J19</f>
        <v>15</v>
      </c>
      <c r="L19" s="47">
        <f t="shared" si="1"/>
        <v>5</v>
      </c>
      <c r="M19" s="47">
        <f t="shared" si="2"/>
        <v>0</v>
      </c>
      <c r="N19" s="48">
        <f>L19*'Employee 01 Reconciliation'!$B$9</f>
        <v>125</v>
      </c>
      <c r="O19" s="48">
        <f>M19*'Employee 01 Reconciliation'!$B$9*1.5</f>
        <v>0</v>
      </c>
      <c r="P19" s="48">
        <f t="shared" si="3"/>
        <v>125</v>
      </c>
    </row>
    <row r="20" spans="1:16" s="38" customFormat="1">
      <c r="A20" s="39" t="s">
        <v>48</v>
      </c>
      <c r="B20" s="54">
        <v>1</v>
      </c>
      <c r="C20" s="60">
        <v>46066</v>
      </c>
      <c r="D20" s="44" t="s">
        <v>42</v>
      </c>
      <c r="E20" s="45">
        <v>46054</v>
      </c>
      <c r="F20" s="56">
        <v>46062</v>
      </c>
      <c r="G20" s="46">
        <v>0</v>
      </c>
      <c r="H20" s="46">
        <v>5</v>
      </c>
      <c r="I20" s="46">
        <v>0</v>
      </c>
      <c r="J20" s="47">
        <f t="shared" si="0"/>
        <v>5</v>
      </c>
      <c r="K20" s="47">
        <f>SUMIFS($J$3:J20,$F$3:F20,F20)-J20</f>
        <v>20</v>
      </c>
      <c r="L20" s="47">
        <f t="shared" si="1"/>
        <v>5</v>
      </c>
      <c r="M20" s="47">
        <f t="shared" si="2"/>
        <v>0</v>
      </c>
      <c r="N20" s="48">
        <f>L20*'Employee 01 Reconciliation'!$B$9</f>
        <v>125</v>
      </c>
      <c r="O20" s="48">
        <f>M20*'Employee 01 Reconciliation'!$B$9*1.5</f>
        <v>0</v>
      </c>
      <c r="P20" s="48">
        <f t="shared" si="3"/>
        <v>125</v>
      </c>
    </row>
    <row r="21" spans="1:16" s="38" customFormat="1">
      <c r="A21" s="39" t="s">
        <v>48</v>
      </c>
      <c r="B21" s="54">
        <v>1</v>
      </c>
      <c r="C21" s="60">
        <v>46069</v>
      </c>
      <c r="D21" s="44" t="s">
        <v>43</v>
      </c>
      <c r="E21" s="45">
        <v>46054</v>
      </c>
      <c r="F21" s="56">
        <v>46069</v>
      </c>
      <c r="G21" s="46">
        <v>0</v>
      </c>
      <c r="H21" s="46">
        <v>5</v>
      </c>
      <c r="I21" s="46">
        <v>0</v>
      </c>
      <c r="J21" s="47">
        <f t="shared" si="0"/>
        <v>5</v>
      </c>
      <c r="K21" s="47">
        <f>SUMIFS($J$3:J21,$F$3:F21,F21)-J21</f>
        <v>0</v>
      </c>
      <c r="L21" s="47">
        <f t="shared" si="1"/>
        <v>5</v>
      </c>
      <c r="M21" s="47">
        <f t="shared" si="2"/>
        <v>0</v>
      </c>
      <c r="N21" s="48">
        <f>L21*'Employee 01 Reconciliation'!$B$9</f>
        <v>125</v>
      </c>
      <c r="O21" s="48">
        <f>M21*'Employee 01 Reconciliation'!$B$9*1.5</f>
        <v>0</v>
      </c>
      <c r="P21" s="48">
        <f t="shared" si="3"/>
        <v>125</v>
      </c>
    </row>
    <row r="22" spans="1:16" s="38" customFormat="1">
      <c r="A22" s="39" t="s">
        <v>48</v>
      </c>
      <c r="B22" s="54">
        <v>1</v>
      </c>
      <c r="C22" s="60">
        <v>46070</v>
      </c>
      <c r="D22" s="44" t="s">
        <v>44</v>
      </c>
      <c r="E22" s="45">
        <v>46054</v>
      </c>
      <c r="F22" s="56">
        <v>46069</v>
      </c>
      <c r="G22" s="46">
        <v>0</v>
      </c>
      <c r="H22" s="46">
        <v>5</v>
      </c>
      <c r="I22" s="46">
        <v>0</v>
      </c>
      <c r="J22" s="47">
        <f t="shared" si="0"/>
        <v>5</v>
      </c>
      <c r="K22" s="47">
        <f>SUMIFS($J$3:J22,$F$3:F22,F22)-J22</f>
        <v>5</v>
      </c>
      <c r="L22" s="47">
        <f t="shared" si="1"/>
        <v>5</v>
      </c>
      <c r="M22" s="47">
        <f t="shared" si="2"/>
        <v>0</v>
      </c>
      <c r="N22" s="48">
        <f>L22*'Employee 01 Reconciliation'!$B$9</f>
        <v>125</v>
      </c>
      <c r="O22" s="48">
        <f>M22*'Employee 01 Reconciliation'!$B$9*1.5</f>
        <v>0</v>
      </c>
      <c r="P22" s="48">
        <f t="shared" si="3"/>
        <v>125</v>
      </c>
    </row>
    <row r="23" spans="1:16" s="38" customFormat="1">
      <c r="A23" s="39" t="s">
        <v>48</v>
      </c>
      <c r="B23" s="54">
        <v>1</v>
      </c>
      <c r="C23" s="60">
        <v>46071</v>
      </c>
      <c r="D23" s="44" t="s">
        <v>45</v>
      </c>
      <c r="E23" s="45">
        <v>46054</v>
      </c>
      <c r="F23" s="56">
        <v>46069</v>
      </c>
      <c r="G23" s="46">
        <v>0</v>
      </c>
      <c r="H23" s="46">
        <v>5</v>
      </c>
      <c r="I23" s="46">
        <v>0</v>
      </c>
      <c r="J23" s="47">
        <f t="shared" si="0"/>
        <v>5</v>
      </c>
      <c r="K23" s="47">
        <f>SUMIFS($J$3:J23,$F$3:F23,F23)-J23</f>
        <v>10</v>
      </c>
      <c r="L23" s="47">
        <f t="shared" si="1"/>
        <v>5</v>
      </c>
      <c r="M23" s="47">
        <f t="shared" si="2"/>
        <v>0</v>
      </c>
      <c r="N23" s="48">
        <f>L23*'Employee 01 Reconciliation'!$B$9</f>
        <v>125</v>
      </c>
      <c r="O23" s="48">
        <f>M23*'Employee 01 Reconciliation'!$B$9*1.5</f>
        <v>0</v>
      </c>
      <c r="P23" s="48">
        <f t="shared" si="3"/>
        <v>125</v>
      </c>
    </row>
    <row r="24" spans="1:16" s="38" customFormat="1">
      <c r="A24" s="39" t="s">
        <v>48</v>
      </c>
      <c r="B24" s="54">
        <v>1</v>
      </c>
      <c r="C24" s="60">
        <v>46072</v>
      </c>
      <c r="D24" s="44" t="s">
        <v>41</v>
      </c>
      <c r="E24" s="45">
        <v>46054</v>
      </c>
      <c r="F24" s="56">
        <v>46069</v>
      </c>
      <c r="G24" s="46">
        <v>0</v>
      </c>
      <c r="H24" s="46">
        <v>5</v>
      </c>
      <c r="I24" s="46">
        <v>0</v>
      </c>
      <c r="J24" s="47">
        <f t="shared" si="0"/>
        <v>5</v>
      </c>
      <c r="K24" s="47">
        <f>SUMIFS($J$3:J24,$F$3:F24,F24)-J24</f>
        <v>15</v>
      </c>
      <c r="L24" s="47">
        <f t="shared" si="1"/>
        <v>5</v>
      </c>
      <c r="M24" s="47">
        <f t="shared" si="2"/>
        <v>0</v>
      </c>
      <c r="N24" s="48">
        <f>L24*'Employee 01 Reconciliation'!$B$9</f>
        <v>125</v>
      </c>
      <c r="O24" s="48">
        <f>M24*'Employee 01 Reconciliation'!$B$9*1.5</f>
        <v>0</v>
      </c>
      <c r="P24" s="48">
        <f t="shared" si="3"/>
        <v>125</v>
      </c>
    </row>
    <row r="25" spans="1:16" s="38" customFormat="1">
      <c r="A25" s="39" t="s">
        <v>48</v>
      </c>
      <c r="B25" s="54">
        <v>1</v>
      </c>
      <c r="C25" s="60">
        <v>46073</v>
      </c>
      <c r="D25" s="44" t="s">
        <v>42</v>
      </c>
      <c r="E25" s="45">
        <v>46054</v>
      </c>
      <c r="F25" s="56">
        <v>46069</v>
      </c>
      <c r="G25" s="46">
        <v>0</v>
      </c>
      <c r="H25" s="46">
        <v>5</v>
      </c>
      <c r="I25" s="46">
        <v>0</v>
      </c>
      <c r="J25" s="47">
        <f t="shared" si="0"/>
        <v>5</v>
      </c>
      <c r="K25" s="47">
        <f>SUMIFS($J$3:J25,$F$3:F25,F25)-J25</f>
        <v>20</v>
      </c>
      <c r="L25" s="47">
        <f t="shared" si="1"/>
        <v>5</v>
      </c>
      <c r="M25" s="47">
        <f t="shared" si="2"/>
        <v>0</v>
      </c>
      <c r="N25" s="48">
        <f>L25*'Employee 01 Reconciliation'!$B$9</f>
        <v>125</v>
      </c>
      <c r="O25" s="48">
        <f>M25*'Employee 01 Reconciliation'!$B$9*1.5</f>
        <v>0</v>
      </c>
      <c r="P25" s="48">
        <f t="shared" si="3"/>
        <v>125</v>
      </c>
    </row>
    <row r="26" spans="1:16" s="38" customFormat="1">
      <c r="A26" s="39" t="s">
        <v>48</v>
      </c>
      <c r="B26" s="54">
        <v>1</v>
      </c>
      <c r="C26" s="60">
        <v>46076</v>
      </c>
      <c r="D26" s="44" t="s">
        <v>43</v>
      </c>
      <c r="E26" s="45">
        <v>46054</v>
      </c>
      <c r="F26" s="56">
        <v>46076</v>
      </c>
      <c r="G26" s="46">
        <v>0</v>
      </c>
      <c r="H26" s="46">
        <v>5</v>
      </c>
      <c r="I26" s="46">
        <v>0</v>
      </c>
      <c r="J26" s="47">
        <f t="shared" si="0"/>
        <v>5</v>
      </c>
      <c r="K26" s="47">
        <f>SUMIFS($J$3:J26,$F$3:F26,F26)-J26</f>
        <v>0</v>
      </c>
      <c r="L26" s="47">
        <f t="shared" si="1"/>
        <v>5</v>
      </c>
      <c r="M26" s="47">
        <f t="shared" si="2"/>
        <v>0</v>
      </c>
      <c r="N26" s="48">
        <f>L26*'Employee 01 Reconciliation'!$B$9</f>
        <v>125</v>
      </c>
      <c r="O26" s="48">
        <f>M26*'Employee 01 Reconciliation'!$B$9*1.5</f>
        <v>0</v>
      </c>
      <c r="P26" s="48">
        <f t="shared" si="3"/>
        <v>125</v>
      </c>
    </row>
    <row r="27" spans="1:16" s="38" customFormat="1">
      <c r="A27" s="39" t="s">
        <v>48</v>
      </c>
      <c r="B27" s="54">
        <v>1</v>
      </c>
      <c r="C27" s="60">
        <v>46083</v>
      </c>
      <c r="D27" s="44" t="s">
        <v>43</v>
      </c>
      <c r="E27" s="45">
        <v>46082</v>
      </c>
      <c r="F27" s="56">
        <v>46083</v>
      </c>
      <c r="G27" s="46">
        <v>0.5</v>
      </c>
      <c r="H27" s="46">
        <v>5</v>
      </c>
      <c r="I27" s="46">
        <v>0</v>
      </c>
      <c r="J27" s="47">
        <f t="shared" si="0"/>
        <v>5.5</v>
      </c>
      <c r="K27" s="47">
        <f>SUMIFS($J$3:J27,$F$3:F27,F27)-J27</f>
        <v>0</v>
      </c>
      <c r="L27" s="47">
        <f t="shared" si="1"/>
        <v>5.5</v>
      </c>
      <c r="M27" s="47">
        <f t="shared" si="2"/>
        <v>0</v>
      </c>
      <c r="N27" s="48">
        <f>L27*'Employee 01 Reconciliation'!$B$9</f>
        <v>137.5</v>
      </c>
      <c r="O27" s="48">
        <f>M27*'Employee 01 Reconciliation'!$B$9*1.5</f>
        <v>0</v>
      </c>
      <c r="P27" s="48">
        <f t="shared" si="3"/>
        <v>137.5</v>
      </c>
    </row>
    <row r="28" spans="1:16" s="38" customFormat="1">
      <c r="A28" s="39" t="s">
        <v>48</v>
      </c>
      <c r="B28" s="54">
        <v>1</v>
      </c>
      <c r="C28" s="60">
        <v>46084</v>
      </c>
      <c r="D28" s="44" t="s">
        <v>44</v>
      </c>
      <c r="E28" s="45">
        <v>46082</v>
      </c>
      <c r="F28" s="56">
        <v>46083</v>
      </c>
      <c r="G28" s="46">
        <v>0.5</v>
      </c>
      <c r="H28" s="46">
        <v>5</v>
      </c>
      <c r="I28" s="46">
        <v>0</v>
      </c>
      <c r="J28" s="47">
        <f t="shared" si="0"/>
        <v>5.5</v>
      </c>
      <c r="K28" s="47">
        <f>SUMIFS($J$3:J28,$F$3:F28,F28)-J28</f>
        <v>5.5</v>
      </c>
      <c r="L28" s="47">
        <f t="shared" si="1"/>
        <v>5.5</v>
      </c>
      <c r="M28" s="47">
        <f t="shared" si="2"/>
        <v>0</v>
      </c>
      <c r="N28" s="48">
        <f>L28*'Employee 01 Reconciliation'!$B$9</f>
        <v>137.5</v>
      </c>
      <c r="O28" s="48">
        <f>M28*'Employee 01 Reconciliation'!$B$9*1.5</f>
        <v>0</v>
      </c>
      <c r="P28" s="48">
        <f t="shared" si="3"/>
        <v>137.5</v>
      </c>
    </row>
    <row r="29" spans="1:16" s="38" customFormat="1">
      <c r="A29" s="39" t="s">
        <v>48</v>
      </c>
      <c r="B29" s="54">
        <v>1</v>
      </c>
      <c r="C29" s="60">
        <v>46085</v>
      </c>
      <c r="D29" s="44" t="s">
        <v>45</v>
      </c>
      <c r="E29" s="45">
        <v>46082</v>
      </c>
      <c r="F29" s="56">
        <v>46083</v>
      </c>
      <c r="G29" s="46">
        <v>0.5</v>
      </c>
      <c r="H29" s="46">
        <v>5</v>
      </c>
      <c r="I29" s="46">
        <v>0</v>
      </c>
      <c r="J29" s="47">
        <f t="shared" si="0"/>
        <v>5.5</v>
      </c>
      <c r="K29" s="47">
        <f>SUMIFS($J$3:J29,$F$3:F29,F29)-J29</f>
        <v>11</v>
      </c>
      <c r="L29" s="47">
        <f t="shared" si="1"/>
        <v>5.5</v>
      </c>
      <c r="M29" s="47">
        <f t="shared" si="2"/>
        <v>0</v>
      </c>
      <c r="N29" s="48">
        <f>L29*'Employee 01 Reconciliation'!$B$9</f>
        <v>137.5</v>
      </c>
      <c r="O29" s="48">
        <f>M29*'Employee 01 Reconciliation'!$B$9*1.5</f>
        <v>0</v>
      </c>
      <c r="P29" s="48">
        <f t="shared" si="3"/>
        <v>137.5</v>
      </c>
    </row>
    <row r="30" spans="1:16" s="38" customFormat="1">
      <c r="A30" s="39" t="s">
        <v>48</v>
      </c>
      <c r="B30" s="54">
        <v>1</v>
      </c>
      <c r="C30" s="60">
        <v>46086</v>
      </c>
      <c r="D30" s="44" t="s">
        <v>41</v>
      </c>
      <c r="E30" s="45">
        <v>46082</v>
      </c>
      <c r="F30" s="56">
        <v>46083</v>
      </c>
      <c r="G30" s="46">
        <v>0.5</v>
      </c>
      <c r="H30" s="46">
        <v>5</v>
      </c>
      <c r="I30" s="46">
        <v>0</v>
      </c>
      <c r="J30" s="47">
        <f t="shared" si="0"/>
        <v>5.5</v>
      </c>
      <c r="K30" s="47">
        <f>SUMIFS($J$3:J30,$F$3:F30,F30)-J30</f>
        <v>16.5</v>
      </c>
      <c r="L30" s="47">
        <f t="shared" si="1"/>
        <v>5.5</v>
      </c>
      <c r="M30" s="47">
        <f t="shared" si="2"/>
        <v>0</v>
      </c>
      <c r="N30" s="48">
        <f>L30*'Employee 01 Reconciliation'!$B$9</f>
        <v>137.5</v>
      </c>
      <c r="O30" s="48">
        <f>M30*'Employee 01 Reconciliation'!$B$9*1.5</f>
        <v>0</v>
      </c>
      <c r="P30" s="48">
        <f t="shared" si="3"/>
        <v>137.5</v>
      </c>
    </row>
    <row r="31" spans="1:16" s="38" customFormat="1">
      <c r="A31" s="39" t="s">
        <v>48</v>
      </c>
      <c r="B31" s="54">
        <v>1</v>
      </c>
      <c r="C31" s="60">
        <v>46087</v>
      </c>
      <c r="D31" s="44" t="s">
        <v>42</v>
      </c>
      <c r="E31" s="45">
        <v>46082</v>
      </c>
      <c r="F31" s="56">
        <v>46083</v>
      </c>
      <c r="G31" s="46">
        <v>0.5</v>
      </c>
      <c r="H31" s="46">
        <v>5</v>
      </c>
      <c r="I31" s="46">
        <v>0</v>
      </c>
      <c r="J31" s="47">
        <f t="shared" si="0"/>
        <v>5.5</v>
      </c>
      <c r="K31" s="47">
        <f>SUMIFS($J$3:J31,$F$3:F31,F31)-J31</f>
        <v>22</v>
      </c>
      <c r="L31" s="47">
        <f t="shared" si="1"/>
        <v>5.5</v>
      </c>
      <c r="M31" s="47">
        <f t="shared" si="2"/>
        <v>0</v>
      </c>
      <c r="N31" s="48">
        <f>L31*'Employee 01 Reconciliation'!$B$9</f>
        <v>137.5</v>
      </c>
      <c r="O31" s="48">
        <f>M31*'Employee 01 Reconciliation'!$B$9*1.5</f>
        <v>0</v>
      </c>
      <c r="P31" s="48">
        <f t="shared" si="3"/>
        <v>137.5</v>
      </c>
    </row>
    <row r="32" spans="1:16" s="38" customFormat="1">
      <c r="A32" s="39" t="s">
        <v>48</v>
      </c>
      <c r="B32" s="54">
        <v>1</v>
      </c>
      <c r="C32" s="60">
        <v>46090</v>
      </c>
      <c r="D32" s="44" t="s">
        <v>43</v>
      </c>
      <c r="E32" s="45">
        <v>46082</v>
      </c>
      <c r="F32" s="56">
        <v>46090</v>
      </c>
      <c r="G32" s="46">
        <v>0.5</v>
      </c>
      <c r="H32" s="46">
        <v>5</v>
      </c>
      <c r="I32" s="46">
        <v>0</v>
      </c>
      <c r="J32" s="47">
        <f t="shared" si="0"/>
        <v>5.5</v>
      </c>
      <c r="K32" s="47">
        <f>SUMIFS($J$3:J32,$F$3:F32,F32)-J32</f>
        <v>0</v>
      </c>
      <c r="L32" s="47">
        <f t="shared" si="1"/>
        <v>5.5</v>
      </c>
      <c r="M32" s="47">
        <f t="shared" si="2"/>
        <v>0</v>
      </c>
      <c r="N32" s="48">
        <f>L32*'Employee 01 Reconciliation'!$B$9</f>
        <v>137.5</v>
      </c>
      <c r="O32" s="48">
        <f>M32*'Employee 01 Reconciliation'!$B$9*1.5</f>
        <v>0</v>
      </c>
      <c r="P32" s="48">
        <f t="shared" si="3"/>
        <v>137.5</v>
      </c>
    </row>
    <row r="33" spans="1:16" s="38" customFormat="1">
      <c r="A33" s="39" t="s">
        <v>48</v>
      </c>
      <c r="B33" s="54">
        <v>1</v>
      </c>
      <c r="C33" s="60">
        <v>46091</v>
      </c>
      <c r="D33" s="44" t="s">
        <v>44</v>
      </c>
      <c r="E33" s="45">
        <v>46082</v>
      </c>
      <c r="F33" s="56">
        <v>46090</v>
      </c>
      <c r="G33" s="46">
        <v>0.5</v>
      </c>
      <c r="H33" s="46">
        <v>5</v>
      </c>
      <c r="I33" s="46">
        <v>0</v>
      </c>
      <c r="J33" s="47">
        <f t="shared" si="0"/>
        <v>5.5</v>
      </c>
      <c r="K33" s="47">
        <f>SUMIFS($J$3:J33,$F$3:F33,F33)-J33</f>
        <v>5.5</v>
      </c>
      <c r="L33" s="47">
        <f t="shared" si="1"/>
        <v>5.5</v>
      </c>
      <c r="M33" s="47">
        <f t="shared" si="2"/>
        <v>0</v>
      </c>
      <c r="N33" s="48">
        <f>L33*'Employee 01 Reconciliation'!$B$9</f>
        <v>137.5</v>
      </c>
      <c r="O33" s="48">
        <f>M33*'Employee 01 Reconciliation'!$B$9*1.5</f>
        <v>0</v>
      </c>
      <c r="P33" s="48">
        <f t="shared" si="3"/>
        <v>137.5</v>
      </c>
    </row>
    <row r="34" spans="1:16" s="38" customFormat="1">
      <c r="A34" s="39" t="s">
        <v>48</v>
      </c>
      <c r="B34" s="54">
        <v>1</v>
      </c>
      <c r="C34" s="60">
        <v>46092</v>
      </c>
      <c r="D34" s="44" t="s">
        <v>45</v>
      </c>
      <c r="E34" s="45">
        <v>46082</v>
      </c>
      <c r="F34" s="56">
        <v>46090</v>
      </c>
      <c r="G34" s="46">
        <v>0.5</v>
      </c>
      <c r="H34" s="46">
        <v>5</v>
      </c>
      <c r="I34" s="46">
        <v>0</v>
      </c>
      <c r="J34" s="47">
        <f t="shared" si="0"/>
        <v>5.5</v>
      </c>
      <c r="K34" s="47">
        <f>SUMIFS($J$3:J34,$F$3:F34,F34)-J34</f>
        <v>11</v>
      </c>
      <c r="L34" s="47">
        <f t="shared" si="1"/>
        <v>5.5</v>
      </c>
      <c r="M34" s="47">
        <f t="shared" si="2"/>
        <v>0</v>
      </c>
      <c r="N34" s="48">
        <f>L34*'Employee 01 Reconciliation'!$B$9</f>
        <v>137.5</v>
      </c>
      <c r="O34" s="48">
        <f>M34*'Employee 01 Reconciliation'!$B$9*1.5</f>
        <v>0</v>
      </c>
      <c r="P34" s="48">
        <f t="shared" si="3"/>
        <v>137.5</v>
      </c>
    </row>
    <row r="35" spans="1:16" s="38" customFormat="1">
      <c r="A35" s="39" t="s">
        <v>48</v>
      </c>
      <c r="B35" s="54">
        <v>1</v>
      </c>
      <c r="C35" s="60">
        <v>46093</v>
      </c>
      <c r="D35" s="44" t="s">
        <v>41</v>
      </c>
      <c r="E35" s="45">
        <v>46082</v>
      </c>
      <c r="F35" s="56">
        <v>46090</v>
      </c>
      <c r="G35" s="46">
        <v>0.5</v>
      </c>
      <c r="H35" s="46">
        <v>5</v>
      </c>
      <c r="I35" s="46">
        <v>0</v>
      </c>
      <c r="J35" s="47">
        <f t="shared" ref="J35:J66" si="4">G35+H35-I35</f>
        <v>5.5</v>
      </c>
      <c r="K35" s="47">
        <f>SUMIFS($J$3:J35,$F$3:F35,F35)-J35</f>
        <v>16.5</v>
      </c>
      <c r="L35" s="47">
        <f t="shared" ref="L35:L66" si="5">MIN(J35,MAX(0,40-K35))</f>
        <v>5.5</v>
      </c>
      <c r="M35" s="47">
        <f t="shared" ref="M35:M65" si="6">J35-L35</f>
        <v>0</v>
      </c>
      <c r="N35" s="48">
        <f>L35*'Employee 01 Reconciliation'!$B$9</f>
        <v>137.5</v>
      </c>
      <c r="O35" s="48">
        <f>M35*'Employee 01 Reconciliation'!$B$9*1.5</f>
        <v>0</v>
      </c>
      <c r="P35" s="48">
        <f t="shared" ref="P35:P66" si="7">N35+O35</f>
        <v>137.5</v>
      </c>
    </row>
    <row r="36" spans="1:16" s="38" customFormat="1">
      <c r="A36" s="39" t="s">
        <v>48</v>
      </c>
      <c r="B36" s="54">
        <v>1</v>
      </c>
      <c r="C36" s="60">
        <v>46094</v>
      </c>
      <c r="D36" s="44" t="s">
        <v>42</v>
      </c>
      <c r="E36" s="45">
        <v>46082</v>
      </c>
      <c r="F36" s="56">
        <v>46090</v>
      </c>
      <c r="G36" s="46">
        <v>0.5</v>
      </c>
      <c r="H36" s="46">
        <v>5</v>
      </c>
      <c r="I36" s="46">
        <v>0</v>
      </c>
      <c r="J36" s="47">
        <f t="shared" si="4"/>
        <v>5.5</v>
      </c>
      <c r="K36" s="47">
        <f>SUMIFS($J$3:J36,$F$3:F36,F36)-J36</f>
        <v>22</v>
      </c>
      <c r="L36" s="47">
        <f t="shared" si="5"/>
        <v>5.5</v>
      </c>
      <c r="M36" s="47">
        <f t="shared" si="6"/>
        <v>0</v>
      </c>
      <c r="N36" s="48">
        <f>L36*'Employee 01 Reconciliation'!$B$9</f>
        <v>137.5</v>
      </c>
      <c r="O36" s="48">
        <f>M36*'Employee 01 Reconciliation'!$B$9*1.5</f>
        <v>0</v>
      </c>
      <c r="P36" s="48">
        <f t="shared" si="7"/>
        <v>137.5</v>
      </c>
    </row>
    <row r="37" spans="1:16" s="38" customFormat="1">
      <c r="A37" s="39" t="s">
        <v>48</v>
      </c>
      <c r="B37" s="54">
        <v>1</v>
      </c>
      <c r="C37" s="60">
        <v>46097</v>
      </c>
      <c r="D37" s="44" t="s">
        <v>43</v>
      </c>
      <c r="E37" s="45">
        <v>46082</v>
      </c>
      <c r="F37" s="56">
        <v>46097</v>
      </c>
      <c r="G37" s="46">
        <v>0.5</v>
      </c>
      <c r="H37" s="46">
        <v>5</v>
      </c>
      <c r="I37" s="46">
        <v>0</v>
      </c>
      <c r="J37" s="47">
        <f t="shared" si="4"/>
        <v>5.5</v>
      </c>
      <c r="K37" s="47">
        <f>SUMIFS($J$3:J37,$F$3:F37,F37)-J37</f>
        <v>0</v>
      </c>
      <c r="L37" s="47">
        <f t="shared" si="5"/>
        <v>5.5</v>
      </c>
      <c r="M37" s="47">
        <f t="shared" si="6"/>
        <v>0</v>
      </c>
      <c r="N37" s="48">
        <f>L37*'Employee 01 Reconciliation'!$B$9</f>
        <v>137.5</v>
      </c>
      <c r="O37" s="48">
        <f>M37*'Employee 01 Reconciliation'!$B$9*1.5</f>
        <v>0</v>
      </c>
      <c r="P37" s="48">
        <f t="shared" si="7"/>
        <v>137.5</v>
      </c>
    </row>
    <row r="38" spans="1:16" s="38" customFormat="1">
      <c r="A38" s="39" t="s">
        <v>48</v>
      </c>
      <c r="B38" s="54">
        <v>1</v>
      </c>
      <c r="C38" s="60">
        <v>46098</v>
      </c>
      <c r="D38" s="44" t="s">
        <v>44</v>
      </c>
      <c r="E38" s="45">
        <v>46082</v>
      </c>
      <c r="F38" s="56">
        <v>46097</v>
      </c>
      <c r="G38" s="46">
        <v>0.5</v>
      </c>
      <c r="H38" s="46">
        <v>5</v>
      </c>
      <c r="I38" s="46">
        <v>0</v>
      </c>
      <c r="J38" s="47">
        <f t="shared" si="4"/>
        <v>5.5</v>
      </c>
      <c r="K38" s="47">
        <f>SUMIFS($J$3:J38,$F$3:F38,F38)-J38</f>
        <v>5.5</v>
      </c>
      <c r="L38" s="47">
        <f t="shared" si="5"/>
        <v>5.5</v>
      </c>
      <c r="M38" s="47">
        <f t="shared" si="6"/>
        <v>0</v>
      </c>
      <c r="N38" s="48">
        <f>L38*'Employee 01 Reconciliation'!$B$9</f>
        <v>137.5</v>
      </c>
      <c r="O38" s="48">
        <f>M38*'Employee 01 Reconciliation'!$B$9*1.5</f>
        <v>0</v>
      </c>
      <c r="P38" s="48">
        <f t="shared" si="7"/>
        <v>137.5</v>
      </c>
    </row>
    <row r="39" spans="1:16" s="38" customFormat="1">
      <c r="A39" s="39" t="s">
        <v>48</v>
      </c>
      <c r="B39" s="54">
        <v>1</v>
      </c>
      <c r="C39" s="60">
        <v>46099</v>
      </c>
      <c r="D39" s="44" t="s">
        <v>45</v>
      </c>
      <c r="E39" s="45">
        <v>46082</v>
      </c>
      <c r="F39" s="56">
        <v>46097</v>
      </c>
      <c r="G39" s="46">
        <v>0.5</v>
      </c>
      <c r="H39" s="46">
        <v>5</v>
      </c>
      <c r="I39" s="46">
        <v>0</v>
      </c>
      <c r="J39" s="47">
        <f t="shared" si="4"/>
        <v>5.5</v>
      </c>
      <c r="K39" s="47">
        <f>SUMIFS($J$3:J39,$F$3:F39,F39)-J39</f>
        <v>11</v>
      </c>
      <c r="L39" s="47">
        <f t="shared" si="5"/>
        <v>5.5</v>
      </c>
      <c r="M39" s="47">
        <f t="shared" si="6"/>
        <v>0</v>
      </c>
      <c r="N39" s="48">
        <f>L39*'Employee 01 Reconciliation'!$B$9</f>
        <v>137.5</v>
      </c>
      <c r="O39" s="48">
        <f>M39*'Employee 01 Reconciliation'!$B$9*1.5</f>
        <v>0</v>
      </c>
      <c r="P39" s="48">
        <f t="shared" si="7"/>
        <v>137.5</v>
      </c>
    </row>
    <row r="40" spans="1:16" s="38" customFormat="1">
      <c r="A40" s="39" t="s">
        <v>48</v>
      </c>
      <c r="B40" s="54">
        <v>1</v>
      </c>
      <c r="C40" s="60">
        <v>46100</v>
      </c>
      <c r="D40" s="44" t="s">
        <v>41</v>
      </c>
      <c r="E40" s="45">
        <v>46082</v>
      </c>
      <c r="F40" s="56">
        <v>46097</v>
      </c>
      <c r="G40" s="46">
        <v>0.5</v>
      </c>
      <c r="H40" s="46">
        <v>5</v>
      </c>
      <c r="I40" s="46">
        <v>0</v>
      </c>
      <c r="J40" s="47">
        <f t="shared" si="4"/>
        <v>5.5</v>
      </c>
      <c r="K40" s="47">
        <f>SUMIFS($J$3:J40,$F$3:F40,F40)-J40</f>
        <v>16.5</v>
      </c>
      <c r="L40" s="47">
        <f t="shared" si="5"/>
        <v>5.5</v>
      </c>
      <c r="M40" s="47">
        <f t="shared" si="6"/>
        <v>0</v>
      </c>
      <c r="N40" s="48">
        <f>L40*'Employee 01 Reconciliation'!$B$9</f>
        <v>137.5</v>
      </c>
      <c r="O40" s="48">
        <f>M40*'Employee 01 Reconciliation'!$B$9*1.5</f>
        <v>0</v>
      </c>
      <c r="P40" s="48">
        <f t="shared" si="7"/>
        <v>137.5</v>
      </c>
    </row>
    <row r="41" spans="1:16" s="38" customFormat="1">
      <c r="A41" s="39" t="s">
        <v>48</v>
      </c>
      <c r="B41" s="54">
        <v>1</v>
      </c>
      <c r="C41" s="60">
        <v>46101</v>
      </c>
      <c r="D41" s="44" t="s">
        <v>42</v>
      </c>
      <c r="E41" s="45">
        <v>46082</v>
      </c>
      <c r="F41" s="56">
        <v>46097</v>
      </c>
      <c r="G41" s="46">
        <v>0.5</v>
      </c>
      <c r="H41" s="46">
        <v>5</v>
      </c>
      <c r="I41" s="46">
        <v>0</v>
      </c>
      <c r="J41" s="47">
        <f t="shared" si="4"/>
        <v>5.5</v>
      </c>
      <c r="K41" s="47">
        <f>SUMIFS($J$3:J41,$F$3:F41,F41)-J41</f>
        <v>22</v>
      </c>
      <c r="L41" s="47">
        <f t="shared" si="5"/>
        <v>5.5</v>
      </c>
      <c r="M41" s="47">
        <f t="shared" si="6"/>
        <v>0</v>
      </c>
      <c r="N41" s="48">
        <f>L41*'Employee 01 Reconciliation'!$B$9</f>
        <v>137.5</v>
      </c>
      <c r="O41" s="48">
        <f>M41*'Employee 01 Reconciliation'!$B$9*1.5</f>
        <v>0</v>
      </c>
      <c r="P41" s="48">
        <f t="shared" si="7"/>
        <v>137.5</v>
      </c>
    </row>
    <row r="42" spans="1:16" s="38" customFormat="1">
      <c r="A42" s="39" t="s">
        <v>48</v>
      </c>
      <c r="B42" s="54">
        <v>1</v>
      </c>
      <c r="C42" s="60">
        <v>46104</v>
      </c>
      <c r="D42" s="44" t="s">
        <v>43</v>
      </c>
      <c r="E42" s="45">
        <v>46082</v>
      </c>
      <c r="F42" s="56">
        <v>46104</v>
      </c>
      <c r="G42" s="46">
        <v>0.5</v>
      </c>
      <c r="H42" s="46">
        <v>5</v>
      </c>
      <c r="I42" s="46">
        <v>0</v>
      </c>
      <c r="J42" s="47">
        <f t="shared" si="4"/>
        <v>5.5</v>
      </c>
      <c r="K42" s="47">
        <f>SUMIFS($J$3:J42,$F$3:F42,F42)-J42</f>
        <v>0</v>
      </c>
      <c r="L42" s="47">
        <f t="shared" si="5"/>
        <v>5.5</v>
      </c>
      <c r="M42" s="47">
        <f t="shared" si="6"/>
        <v>0</v>
      </c>
      <c r="N42" s="48">
        <f>L42*'Employee 01 Reconciliation'!$B$9</f>
        <v>137.5</v>
      </c>
      <c r="O42" s="48">
        <f>M42*'Employee 01 Reconciliation'!$B$9*1.5</f>
        <v>0</v>
      </c>
      <c r="P42" s="48">
        <f t="shared" si="7"/>
        <v>137.5</v>
      </c>
    </row>
    <row r="43" spans="1:16" s="38" customFormat="1">
      <c r="A43" s="39" t="s">
        <v>48</v>
      </c>
      <c r="B43" s="54">
        <v>1</v>
      </c>
      <c r="C43" s="60">
        <v>46105</v>
      </c>
      <c r="D43" s="44" t="s">
        <v>44</v>
      </c>
      <c r="E43" s="45">
        <v>46082</v>
      </c>
      <c r="F43" s="56">
        <v>46104</v>
      </c>
      <c r="G43" s="46">
        <v>0.5</v>
      </c>
      <c r="H43" s="46">
        <v>5</v>
      </c>
      <c r="I43" s="46">
        <v>0</v>
      </c>
      <c r="J43" s="47">
        <f t="shared" si="4"/>
        <v>5.5</v>
      </c>
      <c r="K43" s="47">
        <f>SUMIFS($J$3:J43,$F$3:F43,F43)-J43</f>
        <v>5.5</v>
      </c>
      <c r="L43" s="47">
        <f t="shared" si="5"/>
        <v>5.5</v>
      </c>
      <c r="M43" s="47">
        <f t="shared" si="6"/>
        <v>0</v>
      </c>
      <c r="N43" s="48">
        <f>L43*'Employee 01 Reconciliation'!$B$9</f>
        <v>137.5</v>
      </c>
      <c r="O43" s="48">
        <f>M43*'Employee 01 Reconciliation'!$B$9*1.5</f>
        <v>0</v>
      </c>
      <c r="P43" s="48">
        <f t="shared" si="7"/>
        <v>137.5</v>
      </c>
    </row>
    <row r="44" spans="1:16" s="38" customFormat="1">
      <c r="A44" s="39" t="s">
        <v>48</v>
      </c>
      <c r="B44" s="54">
        <v>1</v>
      </c>
      <c r="C44" s="60">
        <v>46106</v>
      </c>
      <c r="D44" s="44" t="s">
        <v>45</v>
      </c>
      <c r="E44" s="45">
        <v>46082</v>
      </c>
      <c r="F44" s="56">
        <v>46104</v>
      </c>
      <c r="G44" s="46">
        <v>0.5</v>
      </c>
      <c r="H44" s="46">
        <v>5</v>
      </c>
      <c r="I44" s="46">
        <v>0</v>
      </c>
      <c r="J44" s="47">
        <f t="shared" si="4"/>
        <v>5.5</v>
      </c>
      <c r="K44" s="47">
        <f>SUMIFS($J$3:J44,$F$3:F44,F44)-J44</f>
        <v>11</v>
      </c>
      <c r="L44" s="47">
        <f t="shared" si="5"/>
        <v>5.5</v>
      </c>
      <c r="M44" s="47">
        <f t="shared" si="6"/>
        <v>0</v>
      </c>
      <c r="N44" s="48">
        <f>L44*'Employee 01 Reconciliation'!$B$9</f>
        <v>137.5</v>
      </c>
      <c r="O44" s="48">
        <f>M44*'Employee 01 Reconciliation'!$B$9*1.5</f>
        <v>0</v>
      </c>
      <c r="P44" s="48">
        <f t="shared" si="7"/>
        <v>137.5</v>
      </c>
    </row>
    <row r="45" spans="1:16" s="38" customFormat="1">
      <c r="A45" s="39" t="s">
        <v>48</v>
      </c>
      <c r="B45" s="54">
        <v>1</v>
      </c>
      <c r="C45" s="60">
        <v>46107</v>
      </c>
      <c r="D45" s="44" t="s">
        <v>41</v>
      </c>
      <c r="E45" s="45">
        <v>46082</v>
      </c>
      <c r="F45" s="56">
        <v>46104</v>
      </c>
      <c r="G45" s="46">
        <v>0.25</v>
      </c>
      <c r="H45" s="46">
        <v>5</v>
      </c>
      <c r="I45" s="46">
        <v>0</v>
      </c>
      <c r="J45" s="47">
        <f t="shared" si="4"/>
        <v>5.25</v>
      </c>
      <c r="K45" s="47">
        <f>SUMIFS($J$3:J45,$F$3:F45,F45)-J45</f>
        <v>16.5</v>
      </c>
      <c r="L45" s="47">
        <f t="shared" si="5"/>
        <v>5.25</v>
      </c>
      <c r="M45" s="47">
        <f t="shared" si="6"/>
        <v>0</v>
      </c>
      <c r="N45" s="48">
        <f>L45*'Employee 01 Reconciliation'!$B$9</f>
        <v>131.25</v>
      </c>
      <c r="O45" s="48">
        <f>M45*'Employee 01 Reconciliation'!$B$9*1.5</f>
        <v>0</v>
      </c>
      <c r="P45" s="48">
        <f t="shared" si="7"/>
        <v>131.25</v>
      </c>
    </row>
    <row r="46" spans="1:16" s="38" customFormat="1">
      <c r="A46" s="39" t="s">
        <v>48</v>
      </c>
      <c r="B46" s="54">
        <v>1</v>
      </c>
      <c r="C46" s="60">
        <v>46108</v>
      </c>
      <c r="D46" s="44" t="s">
        <v>42</v>
      </c>
      <c r="E46" s="45">
        <v>46082</v>
      </c>
      <c r="F46" s="56">
        <v>46104</v>
      </c>
      <c r="G46" s="46">
        <v>0.25</v>
      </c>
      <c r="H46" s="46">
        <v>5</v>
      </c>
      <c r="I46" s="46">
        <v>0</v>
      </c>
      <c r="J46" s="47">
        <f t="shared" si="4"/>
        <v>5.25</v>
      </c>
      <c r="K46" s="47">
        <f>SUMIFS($J$3:J46,$F$3:F46,F46)-J46</f>
        <v>21.75</v>
      </c>
      <c r="L46" s="47">
        <f t="shared" si="5"/>
        <v>5.25</v>
      </c>
      <c r="M46" s="47">
        <f t="shared" si="6"/>
        <v>0</v>
      </c>
      <c r="N46" s="48">
        <f>L46*'Employee 01 Reconciliation'!$B$9</f>
        <v>131.25</v>
      </c>
      <c r="O46" s="48">
        <f>M46*'Employee 01 Reconciliation'!$B$9*1.5</f>
        <v>0</v>
      </c>
      <c r="P46" s="48">
        <f t="shared" si="7"/>
        <v>131.25</v>
      </c>
    </row>
    <row r="47" spans="1:16" s="38" customFormat="1">
      <c r="A47" s="39" t="s">
        <v>48</v>
      </c>
      <c r="B47" s="54">
        <v>1</v>
      </c>
      <c r="C47" s="60">
        <v>46111</v>
      </c>
      <c r="D47" s="44" t="s">
        <v>43</v>
      </c>
      <c r="E47" s="45">
        <v>46082</v>
      </c>
      <c r="F47" s="56">
        <v>46111</v>
      </c>
      <c r="G47" s="46">
        <v>0.25</v>
      </c>
      <c r="H47" s="46">
        <v>5</v>
      </c>
      <c r="I47" s="46">
        <v>0</v>
      </c>
      <c r="J47" s="47">
        <f t="shared" si="4"/>
        <v>5.25</v>
      </c>
      <c r="K47" s="47">
        <f>SUMIFS($J$3:J47,$F$3:F47,F47)-J47</f>
        <v>0</v>
      </c>
      <c r="L47" s="47">
        <f t="shared" si="5"/>
        <v>5.25</v>
      </c>
      <c r="M47" s="47">
        <f t="shared" si="6"/>
        <v>0</v>
      </c>
      <c r="N47" s="48">
        <f>L47*'Employee 01 Reconciliation'!$B$9</f>
        <v>131.25</v>
      </c>
      <c r="O47" s="48">
        <f>M47*'Employee 01 Reconciliation'!$B$9*1.5</f>
        <v>0</v>
      </c>
      <c r="P47" s="48">
        <f t="shared" si="7"/>
        <v>131.25</v>
      </c>
    </row>
    <row r="48" spans="1:16" s="38" customFormat="1">
      <c r="A48" s="39" t="s">
        <v>48</v>
      </c>
      <c r="B48" s="54">
        <v>1</v>
      </c>
      <c r="C48" s="60">
        <v>46112</v>
      </c>
      <c r="D48" s="44" t="s">
        <v>44</v>
      </c>
      <c r="E48" s="45">
        <v>46082</v>
      </c>
      <c r="F48" s="56">
        <v>46111</v>
      </c>
      <c r="G48" s="46">
        <v>0.25</v>
      </c>
      <c r="H48" s="46">
        <v>5</v>
      </c>
      <c r="I48" s="46">
        <v>0</v>
      </c>
      <c r="J48" s="47">
        <f t="shared" si="4"/>
        <v>5.25</v>
      </c>
      <c r="K48" s="47">
        <f>SUMIFS($J$3:J48,$F$3:F48,F48)-J48</f>
        <v>5.25</v>
      </c>
      <c r="L48" s="47">
        <f t="shared" si="5"/>
        <v>5.25</v>
      </c>
      <c r="M48" s="47">
        <f t="shared" si="6"/>
        <v>0</v>
      </c>
      <c r="N48" s="48">
        <f>L48*'Employee 01 Reconciliation'!$B$9</f>
        <v>131.25</v>
      </c>
      <c r="O48" s="48">
        <f>M48*'Employee 01 Reconciliation'!$B$9*1.5</f>
        <v>0</v>
      </c>
      <c r="P48" s="48">
        <f t="shared" si="7"/>
        <v>131.25</v>
      </c>
    </row>
    <row r="49" spans="1:16" s="38" customFormat="1">
      <c r="A49" s="39" t="s">
        <v>48</v>
      </c>
      <c r="B49" s="54">
        <v>1</v>
      </c>
      <c r="C49" s="60">
        <v>46113</v>
      </c>
      <c r="D49" s="44" t="s">
        <v>45</v>
      </c>
      <c r="E49" s="45">
        <v>46113</v>
      </c>
      <c r="F49" s="56">
        <v>46111</v>
      </c>
      <c r="G49" s="46">
        <v>3.25</v>
      </c>
      <c r="H49" s="46">
        <v>5</v>
      </c>
      <c r="I49" s="46">
        <v>0</v>
      </c>
      <c r="J49" s="47">
        <f t="shared" si="4"/>
        <v>8.25</v>
      </c>
      <c r="K49" s="47">
        <f>SUMIFS($J$3:J49,$F$3:F49,F49)-J49</f>
        <v>10.5</v>
      </c>
      <c r="L49" s="47">
        <f t="shared" si="5"/>
        <v>8.25</v>
      </c>
      <c r="M49" s="47">
        <f t="shared" si="6"/>
        <v>0</v>
      </c>
      <c r="N49" s="48">
        <f>L49*'Employee 01 Reconciliation'!$B$9</f>
        <v>206.25</v>
      </c>
      <c r="O49" s="48">
        <f>M49*'Employee 01 Reconciliation'!$B$9*1.5</f>
        <v>0</v>
      </c>
      <c r="P49" s="48">
        <f t="shared" si="7"/>
        <v>206.25</v>
      </c>
    </row>
    <row r="50" spans="1:16" s="38" customFormat="1">
      <c r="A50" s="39" t="s">
        <v>48</v>
      </c>
      <c r="B50" s="54">
        <v>1</v>
      </c>
      <c r="C50" s="60">
        <v>46114</v>
      </c>
      <c r="D50" s="44" t="s">
        <v>41</v>
      </c>
      <c r="E50" s="45">
        <v>46113</v>
      </c>
      <c r="F50" s="56">
        <v>46111</v>
      </c>
      <c r="G50" s="46">
        <v>3.25</v>
      </c>
      <c r="H50" s="46">
        <v>5</v>
      </c>
      <c r="I50" s="46">
        <v>0</v>
      </c>
      <c r="J50" s="47">
        <f t="shared" si="4"/>
        <v>8.25</v>
      </c>
      <c r="K50" s="47">
        <f>SUMIFS($J$3:J50,$F$3:F50,F50)-J50</f>
        <v>18.75</v>
      </c>
      <c r="L50" s="47">
        <f t="shared" si="5"/>
        <v>8.25</v>
      </c>
      <c r="M50" s="47">
        <f t="shared" si="6"/>
        <v>0</v>
      </c>
      <c r="N50" s="48">
        <f>L50*'Employee 01 Reconciliation'!$B$9</f>
        <v>206.25</v>
      </c>
      <c r="O50" s="48">
        <f>M50*'Employee 01 Reconciliation'!$B$9*1.5</f>
        <v>0</v>
      </c>
      <c r="P50" s="48">
        <f t="shared" si="7"/>
        <v>206.25</v>
      </c>
    </row>
    <row r="51" spans="1:16" s="38" customFormat="1">
      <c r="A51" s="39" t="s">
        <v>48</v>
      </c>
      <c r="B51" s="54">
        <v>1</v>
      </c>
      <c r="C51" s="60">
        <v>46115</v>
      </c>
      <c r="D51" s="44" t="s">
        <v>42</v>
      </c>
      <c r="E51" s="45">
        <v>46113</v>
      </c>
      <c r="F51" s="56">
        <v>46111</v>
      </c>
      <c r="G51" s="46">
        <v>3.25</v>
      </c>
      <c r="H51" s="46">
        <v>5</v>
      </c>
      <c r="I51" s="46">
        <v>0</v>
      </c>
      <c r="J51" s="47">
        <f t="shared" si="4"/>
        <v>8.25</v>
      </c>
      <c r="K51" s="47">
        <f>SUMIFS($J$3:J51,$F$3:F51,F51)-J51</f>
        <v>27</v>
      </c>
      <c r="L51" s="47">
        <f t="shared" si="5"/>
        <v>8.25</v>
      </c>
      <c r="M51" s="47">
        <f t="shared" si="6"/>
        <v>0</v>
      </c>
      <c r="N51" s="48">
        <f>L51*'Employee 01 Reconciliation'!$B$9</f>
        <v>206.25</v>
      </c>
      <c r="O51" s="48">
        <f>M51*'Employee 01 Reconciliation'!$B$9*1.5</f>
        <v>0</v>
      </c>
      <c r="P51" s="48">
        <f t="shared" si="7"/>
        <v>206.25</v>
      </c>
    </row>
    <row r="52" spans="1:16" s="38" customFormat="1">
      <c r="A52" s="39" t="s">
        <v>48</v>
      </c>
      <c r="B52" s="54">
        <v>1</v>
      </c>
      <c r="C52" s="60">
        <v>46118</v>
      </c>
      <c r="D52" s="44" t="s">
        <v>43</v>
      </c>
      <c r="E52" s="45">
        <v>46113</v>
      </c>
      <c r="F52" s="56">
        <v>46118</v>
      </c>
      <c r="G52" s="46">
        <v>3.25</v>
      </c>
      <c r="H52" s="46">
        <v>5</v>
      </c>
      <c r="I52" s="46">
        <v>0</v>
      </c>
      <c r="J52" s="47">
        <f t="shared" si="4"/>
        <v>8.25</v>
      </c>
      <c r="K52" s="47">
        <f>SUMIFS($J$3:J52,$F$3:F52,F52)-J52</f>
        <v>0</v>
      </c>
      <c r="L52" s="47">
        <f t="shared" si="5"/>
        <v>8.25</v>
      </c>
      <c r="M52" s="47">
        <f t="shared" si="6"/>
        <v>0</v>
      </c>
      <c r="N52" s="48">
        <f>L52*'Employee 01 Reconciliation'!$B$9</f>
        <v>206.25</v>
      </c>
      <c r="O52" s="48">
        <f>M52*'Employee 01 Reconciliation'!$B$9*1.5</f>
        <v>0</v>
      </c>
      <c r="P52" s="48">
        <f t="shared" si="7"/>
        <v>206.25</v>
      </c>
    </row>
    <row r="53" spans="1:16" s="38" customFormat="1">
      <c r="A53" s="39" t="s">
        <v>48</v>
      </c>
      <c r="B53" s="54">
        <v>1</v>
      </c>
      <c r="C53" s="60">
        <v>46119</v>
      </c>
      <c r="D53" s="44" t="s">
        <v>44</v>
      </c>
      <c r="E53" s="45">
        <v>46113</v>
      </c>
      <c r="F53" s="56">
        <v>46118</v>
      </c>
      <c r="G53" s="46">
        <v>3.25</v>
      </c>
      <c r="H53" s="46">
        <v>5</v>
      </c>
      <c r="I53" s="46">
        <v>0</v>
      </c>
      <c r="J53" s="47">
        <f t="shared" si="4"/>
        <v>8.25</v>
      </c>
      <c r="K53" s="47">
        <f>SUMIFS($J$3:J53,$F$3:F53,F53)-J53</f>
        <v>8.25</v>
      </c>
      <c r="L53" s="47">
        <f t="shared" si="5"/>
        <v>8.25</v>
      </c>
      <c r="M53" s="47">
        <f t="shared" si="6"/>
        <v>0</v>
      </c>
      <c r="N53" s="48">
        <f>L53*'Employee 01 Reconciliation'!$B$9</f>
        <v>206.25</v>
      </c>
      <c r="O53" s="48">
        <f>M53*'Employee 01 Reconciliation'!$B$9*1.5</f>
        <v>0</v>
      </c>
      <c r="P53" s="48">
        <f t="shared" si="7"/>
        <v>206.25</v>
      </c>
    </row>
    <row r="54" spans="1:16" s="38" customFormat="1">
      <c r="A54" s="39" t="s">
        <v>48</v>
      </c>
      <c r="B54" s="54">
        <v>1</v>
      </c>
      <c r="C54" s="60">
        <v>46120</v>
      </c>
      <c r="D54" s="44" t="s">
        <v>45</v>
      </c>
      <c r="E54" s="45">
        <v>46113</v>
      </c>
      <c r="F54" s="56">
        <v>46118</v>
      </c>
      <c r="G54" s="46">
        <v>3.25</v>
      </c>
      <c r="H54" s="46">
        <v>5</v>
      </c>
      <c r="I54" s="46">
        <v>0</v>
      </c>
      <c r="J54" s="47">
        <f t="shared" si="4"/>
        <v>8.25</v>
      </c>
      <c r="K54" s="47">
        <f>SUMIFS($J$3:J54,$F$3:F54,F54)-J54</f>
        <v>16.5</v>
      </c>
      <c r="L54" s="47">
        <f t="shared" si="5"/>
        <v>8.25</v>
      </c>
      <c r="M54" s="47">
        <f t="shared" si="6"/>
        <v>0</v>
      </c>
      <c r="N54" s="48">
        <f>L54*'Employee 01 Reconciliation'!$B$9</f>
        <v>206.25</v>
      </c>
      <c r="O54" s="48">
        <f>M54*'Employee 01 Reconciliation'!$B$9*1.5</f>
        <v>0</v>
      </c>
      <c r="P54" s="48">
        <f t="shared" si="7"/>
        <v>206.25</v>
      </c>
    </row>
    <row r="55" spans="1:16" s="38" customFormat="1">
      <c r="A55" s="39" t="s">
        <v>48</v>
      </c>
      <c r="B55" s="54">
        <v>1</v>
      </c>
      <c r="C55" s="60">
        <v>46121</v>
      </c>
      <c r="D55" s="44" t="s">
        <v>41</v>
      </c>
      <c r="E55" s="45">
        <v>46113</v>
      </c>
      <c r="F55" s="56">
        <v>46118</v>
      </c>
      <c r="G55" s="46">
        <v>3.25</v>
      </c>
      <c r="H55" s="46">
        <v>5</v>
      </c>
      <c r="I55" s="46">
        <v>0</v>
      </c>
      <c r="J55" s="47">
        <f t="shared" si="4"/>
        <v>8.25</v>
      </c>
      <c r="K55" s="47">
        <f>SUMIFS($J$3:J55,$F$3:F55,F55)-J55</f>
        <v>24.75</v>
      </c>
      <c r="L55" s="47">
        <f t="shared" si="5"/>
        <v>8.25</v>
      </c>
      <c r="M55" s="47">
        <f t="shared" si="6"/>
        <v>0</v>
      </c>
      <c r="N55" s="48">
        <f>L55*'Employee 01 Reconciliation'!$B$9</f>
        <v>206.25</v>
      </c>
      <c r="O55" s="48">
        <f>M55*'Employee 01 Reconciliation'!$B$9*1.5</f>
        <v>0</v>
      </c>
      <c r="P55" s="48">
        <f t="shared" si="7"/>
        <v>206.25</v>
      </c>
    </row>
    <row r="56" spans="1:16" s="38" customFormat="1" ht="15">
      <c r="A56" s="39" t="s">
        <v>48</v>
      </c>
      <c r="B56" s="54">
        <v>1</v>
      </c>
      <c r="C56" s="60">
        <v>46122</v>
      </c>
      <c r="D56" s="44" t="s">
        <v>42</v>
      </c>
      <c r="E56" s="45">
        <v>46113</v>
      </c>
      <c r="F56" s="56">
        <v>46118</v>
      </c>
      <c r="G56" s="46">
        <v>3.25</v>
      </c>
      <c r="H56" s="46">
        <v>5</v>
      </c>
      <c r="I56" s="46">
        <v>0</v>
      </c>
      <c r="J56" s="47">
        <f t="shared" si="4"/>
        <v>8.25</v>
      </c>
      <c r="K56" s="47">
        <f>SUMIFS($J$3:J56,$F$3:F56,F56)-J56</f>
        <v>33</v>
      </c>
      <c r="L56" s="47">
        <f t="shared" si="5"/>
        <v>7</v>
      </c>
      <c r="M56" s="47">
        <f t="shared" si="6"/>
        <v>1.25</v>
      </c>
      <c r="N56" s="48">
        <f>L56*'Employee 01 Reconciliation'!$B$9</f>
        <v>175</v>
      </c>
      <c r="O56" s="48">
        <f>M56*'Employee 01 Reconciliation'!$B$9*1.5</f>
        <v>46.875</v>
      </c>
      <c r="P56" s="48">
        <f t="shared" si="7"/>
        <v>221.875</v>
      </c>
    </row>
    <row r="57" spans="1:16" s="38" customFormat="1">
      <c r="A57" s="39" t="s">
        <v>48</v>
      </c>
      <c r="B57" s="54">
        <v>1</v>
      </c>
      <c r="C57" s="60">
        <v>46125</v>
      </c>
      <c r="D57" s="44" t="s">
        <v>43</v>
      </c>
      <c r="E57" s="45">
        <v>46113</v>
      </c>
      <c r="F57" s="56">
        <v>46125</v>
      </c>
      <c r="G57" s="46">
        <v>3.25</v>
      </c>
      <c r="H57" s="46">
        <v>5</v>
      </c>
      <c r="I57" s="46">
        <v>0</v>
      </c>
      <c r="J57" s="47">
        <f t="shared" si="4"/>
        <v>8.25</v>
      </c>
      <c r="K57" s="47">
        <f>SUMIFS($J$3:J57,$F$3:F57,F57)-J57</f>
        <v>0</v>
      </c>
      <c r="L57" s="47">
        <f t="shared" si="5"/>
        <v>8.25</v>
      </c>
      <c r="M57" s="47">
        <f t="shared" si="6"/>
        <v>0</v>
      </c>
      <c r="N57" s="48">
        <f>L57*'Employee 01 Reconciliation'!$B$9</f>
        <v>206.25</v>
      </c>
      <c r="O57" s="48">
        <f>M57*'Employee 01 Reconciliation'!$B$9*1.5</f>
        <v>0</v>
      </c>
      <c r="P57" s="48">
        <f t="shared" si="7"/>
        <v>206.25</v>
      </c>
    </row>
    <row r="58" spans="1:16" s="38" customFormat="1">
      <c r="A58" s="39" t="s">
        <v>48</v>
      </c>
      <c r="B58" s="54">
        <v>1</v>
      </c>
      <c r="C58" s="60">
        <v>46126</v>
      </c>
      <c r="D58" s="44" t="s">
        <v>44</v>
      </c>
      <c r="E58" s="45">
        <v>46113</v>
      </c>
      <c r="F58" s="56">
        <v>46125</v>
      </c>
      <c r="G58" s="46">
        <v>3.25</v>
      </c>
      <c r="H58" s="46">
        <v>5</v>
      </c>
      <c r="I58" s="46">
        <v>0</v>
      </c>
      <c r="J58" s="47">
        <f t="shared" si="4"/>
        <v>8.25</v>
      </c>
      <c r="K58" s="47">
        <f>SUMIFS($J$3:J58,$F$3:F58,F58)-J58</f>
        <v>8.25</v>
      </c>
      <c r="L58" s="47">
        <f t="shared" si="5"/>
        <v>8.25</v>
      </c>
      <c r="M58" s="47">
        <f t="shared" si="6"/>
        <v>0</v>
      </c>
      <c r="N58" s="48">
        <f>L58*'Employee 01 Reconciliation'!$B$9</f>
        <v>206.25</v>
      </c>
      <c r="O58" s="48">
        <f>M58*'Employee 01 Reconciliation'!$B$9*1.5</f>
        <v>0</v>
      </c>
      <c r="P58" s="48">
        <f t="shared" si="7"/>
        <v>206.25</v>
      </c>
    </row>
    <row r="59" spans="1:16" s="38" customFormat="1">
      <c r="A59" s="39" t="s">
        <v>48</v>
      </c>
      <c r="B59" s="54">
        <v>1</v>
      </c>
      <c r="C59" s="60">
        <v>46127</v>
      </c>
      <c r="D59" s="44" t="s">
        <v>45</v>
      </c>
      <c r="E59" s="45">
        <v>46113</v>
      </c>
      <c r="F59" s="56">
        <v>46125</v>
      </c>
      <c r="G59" s="46">
        <v>3.25</v>
      </c>
      <c r="H59" s="46">
        <v>5</v>
      </c>
      <c r="I59" s="46">
        <v>0</v>
      </c>
      <c r="J59" s="47">
        <f t="shared" si="4"/>
        <v>8.25</v>
      </c>
      <c r="K59" s="47">
        <f>SUMIFS($J$3:J59,$F$3:F59,F59)-J59</f>
        <v>16.5</v>
      </c>
      <c r="L59" s="47">
        <f t="shared" si="5"/>
        <v>8.25</v>
      </c>
      <c r="M59" s="47">
        <f t="shared" si="6"/>
        <v>0</v>
      </c>
      <c r="N59" s="48">
        <f>L59*'Employee 01 Reconciliation'!$B$9</f>
        <v>206.25</v>
      </c>
      <c r="O59" s="48">
        <f>M59*'Employee 01 Reconciliation'!$B$9*1.5</f>
        <v>0</v>
      </c>
      <c r="P59" s="48">
        <f t="shared" si="7"/>
        <v>206.25</v>
      </c>
    </row>
    <row r="60" spans="1:16" s="38" customFormat="1">
      <c r="A60" s="39" t="s">
        <v>48</v>
      </c>
      <c r="B60" s="54">
        <v>1</v>
      </c>
      <c r="C60" s="60">
        <v>46128</v>
      </c>
      <c r="D60" s="44" t="s">
        <v>41</v>
      </c>
      <c r="E60" s="45">
        <v>46113</v>
      </c>
      <c r="F60" s="56">
        <v>46125</v>
      </c>
      <c r="G60" s="46">
        <v>3.25</v>
      </c>
      <c r="H60" s="46">
        <v>5</v>
      </c>
      <c r="I60" s="46">
        <v>0</v>
      </c>
      <c r="J60" s="47">
        <f t="shared" si="4"/>
        <v>8.25</v>
      </c>
      <c r="K60" s="47">
        <f>SUMIFS($J$3:J60,$F$3:F60,F60)-J60</f>
        <v>24.75</v>
      </c>
      <c r="L60" s="47">
        <f t="shared" si="5"/>
        <v>8.25</v>
      </c>
      <c r="M60" s="47">
        <f t="shared" si="6"/>
        <v>0</v>
      </c>
      <c r="N60" s="48">
        <f>L60*'Employee 01 Reconciliation'!$B$9</f>
        <v>206.25</v>
      </c>
      <c r="O60" s="48">
        <f>M60*'Employee 01 Reconciliation'!$B$9*1.5</f>
        <v>0</v>
      </c>
      <c r="P60" s="48">
        <f t="shared" si="7"/>
        <v>206.25</v>
      </c>
    </row>
    <row r="61" spans="1:16" s="38" customFormat="1" ht="15">
      <c r="A61" s="39" t="s">
        <v>48</v>
      </c>
      <c r="B61" s="54">
        <v>1</v>
      </c>
      <c r="C61" s="60">
        <v>46129</v>
      </c>
      <c r="D61" s="44" t="s">
        <v>42</v>
      </c>
      <c r="E61" s="45">
        <v>46113</v>
      </c>
      <c r="F61" s="56">
        <v>46125</v>
      </c>
      <c r="G61" s="46">
        <v>3.25</v>
      </c>
      <c r="H61" s="46">
        <v>5</v>
      </c>
      <c r="I61" s="46">
        <v>0</v>
      </c>
      <c r="J61" s="47">
        <f t="shared" si="4"/>
        <v>8.25</v>
      </c>
      <c r="K61" s="47">
        <f>SUMIFS($J$3:J61,$F$3:F61,F61)-J61</f>
        <v>33</v>
      </c>
      <c r="L61" s="47">
        <f t="shared" si="5"/>
        <v>7</v>
      </c>
      <c r="M61" s="47">
        <f t="shared" si="6"/>
        <v>1.25</v>
      </c>
      <c r="N61" s="48">
        <f>L61*'Employee 01 Reconciliation'!$B$9</f>
        <v>175</v>
      </c>
      <c r="O61" s="48">
        <f>M61*'Employee 01 Reconciliation'!$B$9*1.5</f>
        <v>46.875</v>
      </c>
      <c r="P61" s="48">
        <f t="shared" si="7"/>
        <v>221.875</v>
      </c>
    </row>
    <row r="62" spans="1:16" s="38" customFormat="1">
      <c r="A62" s="39" t="s">
        <v>48</v>
      </c>
      <c r="B62" s="54">
        <v>1</v>
      </c>
      <c r="C62" s="60">
        <v>46132</v>
      </c>
      <c r="D62" s="44" t="s">
        <v>43</v>
      </c>
      <c r="E62" s="45">
        <v>46113</v>
      </c>
      <c r="F62" s="56">
        <v>46132</v>
      </c>
      <c r="G62" s="46">
        <v>3.25</v>
      </c>
      <c r="H62" s="46">
        <v>5</v>
      </c>
      <c r="I62" s="46">
        <v>0</v>
      </c>
      <c r="J62" s="47">
        <f t="shared" si="4"/>
        <v>8.25</v>
      </c>
      <c r="K62" s="47">
        <f>SUMIFS($J$3:J62,$F$3:F62,F62)-J62</f>
        <v>0</v>
      </c>
      <c r="L62" s="47">
        <f t="shared" si="5"/>
        <v>8.25</v>
      </c>
      <c r="M62" s="47">
        <f t="shared" si="6"/>
        <v>0</v>
      </c>
      <c r="N62" s="48">
        <f>L62*'Employee 01 Reconciliation'!$B$9</f>
        <v>206.25</v>
      </c>
      <c r="O62" s="48">
        <f>M62*'Employee 01 Reconciliation'!$B$9*1.5</f>
        <v>0</v>
      </c>
      <c r="P62" s="48">
        <f t="shared" si="7"/>
        <v>206.25</v>
      </c>
    </row>
    <row r="63" spans="1:16" s="38" customFormat="1">
      <c r="A63" s="39" t="s">
        <v>48</v>
      </c>
      <c r="B63" s="54">
        <v>1</v>
      </c>
      <c r="C63" s="60">
        <v>46133</v>
      </c>
      <c r="D63" s="44" t="s">
        <v>44</v>
      </c>
      <c r="E63" s="45">
        <v>46113</v>
      </c>
      <c r="F63" s="56">
        <v>46132</v>
      </c>
      <c r="G63" s="46">
        <v>3.25</v>
      </c>
      <c r="H63" s="46">
        <v>5</v>
      </c>
      <c r="I63" s="46">
        <v>0</v>
      </c>
      <c r="J63" s="47">
        <f t="shared" si="4"/>
        <v>8.25</v>
      </c>
      <c r="K63" s="47">
        <f>SUMIFS($J$3:J63,$F$3:F63,F63)-J63</f>
        <v>8.25</v>
      </c>
      <c r="L63" s="47">
        <f t="shared" si="5"/>
        <v>8.25</v>
      </c>
      <c r="M63" s="47">
        <f t="shared" si="6"/>
        <v>0</v>
      </c>
      <c r="N63" s="48">
        <f>L63*'Employee 01 Reconciliation'!$B$9</f>
        <v>206.25</v>
      </c>
      <c r="O63" s="48">
        <f>M63*'Employee 01 Reconciliation'!$B$9*1.5</f>
        <v>0</v>
      </c>
      <c r="P63" s="48">
        <f t="shared" si="7"/>
        <v>206.25</v>
      </c>
    </row>
    <row r="64" spans="1:16" s="38" customFormat="1">
      <c r="A64" s="39" t="s">
        <v>48</v>
      </c>
      <c r="B64" s="54">
        <v>1</v>
      </c>
      <c r="C64" s="60">
        <v>46134</v>
      </c>
      <c r="D64" s="44" t="s">
        <v>45</v>
      </c>
      <c r="E64" s="45">
        <v>46113</v>
      </c>
      <c r="F64" s="56">
        <v>46132</v>
      </c>
      <c r="G64" s="46">
        <v>3.25</v>
      </c>
      <c r="H64" s="46">
        <v>5</v>
      </c>
      <c r="I64" s="46">
        <v>0</v>
      </c>
      <c r="J64" s="47">
        <f t="shared" si="4"/>
        <v>8.25</v>
      </c>
      <c r="K64" s="47">
        <f>SUMIFS($J$3:J64,$F$3:F64,F64)-J64</f>
        <v>16.5</v>
      </c>
      <c r="L64" s="47">
        <f t="shared" si="5"/>
        <v>8.25</v>
      </c>
      <c r="M64" s="47">
        <f t="shared" si="6"/>
        <v>0</v>
      </c>
      <c r="N64" s="48">
        <f>L64*'Employee 01 Reconciliation'!$B$9</f>
        <v>206.25</v>
      </c>
      <c r="O64" s="48">
        <f>M64*'Employee 01 Reconciliation'!$B$9*1.5</f>
        <v>0</v>
      </c>
      <c r="P64" s="48">
        <f t="shared" si="7"/>
        <v>206.25</v>
      </c>
    </row>
    <row r="65" spans="1:16" s="38" customFormat="1">
      <c r="A65" s="39" t="s">
        <v>48</v>
      </c>
      <c r="B65" s="54">
        <v>1</v>
      </c>
      <c r="C65" s="60">
        <v>46135</v>
      </c>
      <c r="D65" s="44" t="s">
        <v>41</v>
      </c>
      <c r="E65" s="45">
        <v>46113</v>
      </c>
      <c r="F65" s="56">
        <v>46132</v>
      </c>
      <c r="G65" s="46">
        <v>3</v>
      </c>
      <c r="H65" s="46">
        <v>5</v>
      </c>
      <c r="I65" s="46">
        <v>0</v>
      </c>
      <c r="J65" s="47">
        <f t="shared" si="4"/>
        <v>8</v>
      </c>
      <c r="K65" s="47">
        <f>SUMIFS($J$3:J65,$F$3:F65,F65)-J65</f>
        <v>24.75</v>
      </c>
      <c r="L65" s="47">
        <f t="shared" si="5"/>
        <v>8</v>
      </c>
      <c r="M65" s="47">
        <f t="shared" si="6"/>
        <v>0</v>
      </c>
      <c r="N65" s="48">
        <f>L65*'Employee 01 Reconciliation'!$B$9</f>
        <v>200</v>
      </c>
      <c r="O65" s="48">
        <f>M65*'Employee 01 Reconciliation'!$B$9*1.5</f>
        <v>0</v>
      </c>
      <c r="P65" s="48">
        <f t="shared" si="7"/>
        <v>200</v>
      </c>
    </row>
    <row r="66" spans="1:16" s="38" customFormat="1" ht="15">
      <c r="A66" s="39" t="s">
        <v>48</v>
      </c>
      <c r="B66" s="54">
        <v>1</v>
      </c>
      <c r="C66" s="60">
        <v>46136</v>
      </c>
      <c r="D66" s="44" t="s">
        <v>42</v>
      </c>
      <c r="E66" s="45">
        <v>46113</v>
      </c>
      <c r="F66" s="56">
        <v>46132</v>
      </c>
      <c r="G66" s="46">
        <v>3</v>
      </c>
      <c r="H66" s="46">
        <v>5</v>
      </c>
      <c r="I66" s="46">
        <v>0</v>
      </c>
      <c r="J66" s="47">
        <f t="shared" si="4"/>
        <v>8</v>
      </c>
      <c r="K66" s="47">
        <f>SUMIFS($J$3:J66,$F$3:F66,F66)-J66</f>
        <v>32.75</v>
      </c>
      <c r="L66" s="47">
        <f t="shared" si="5"/>
        <v>7.25</v>
      </c>
      <c r="M66" s="47">
        <f>J66-L66</f>
        <v>0.75</v>
      </c>
      <c r="N66" s="48">
        <f>L66*'Employee 01 Reconciliation'!$B$9</f>
        <v>181.25</v>
      </c>
      <c r="O66" s="48">
        <f>M66*'Employee 01 Reconciliation'!$B$9*1.5</f>
        <v>28.125</v>
      </c>
      <c r="P66" s="48">
        <f t="shared" si="7"/>
        <v>209.375</v>
      </c>
    </row>
    <row r="67" spans="1:16" s="38" customFormat="1">
      <c r="A67" s="39" t="s">
        <v>48</v>
      </c>
      <c r="B67" s="54">
        <v>1</v>
      </c>
      <c r="C67" s="60">
        <v>46139</v>
      </c>
      <c r="D67" s="44" t="s">
        <v>43</v>
      </c>
      <c r="E67" s="45">
        <v>46113</v>
      </c>
      <c r="F67" s="56">
        <v>46139</v>
      </c>
      <c r="G67" s="46">
        <v>3</v>
      </c>
      <c r="H67" s="46">
        <v>5</v>
      </c>
      <c r="I67" s="46">
        <v>0</v>
      </c>
      <c r="J67" s="47">
        <f t="shared" ref="J67:J98" si="8">G67+H67-I67</f>
        <v>8</v>
      </c>
      <c r="K67" s="47">
        <f>SUMIFS($J$3:J67,$F$3:F67,F67)-J67</f>
        <v>0</v>
      </c>
      <c r="L67" s="47">
        <f t="shared" ref="L67:L98" si="9">MIN(J67,MAX(0,40-K67))</f>
        <v>8</v>
      </c>
      <c r="M67" s="47">
        <f t="shared" ref="M67:M98" si="10">J67-L67</f>
        <v>0</v>
      </c>
      <c r="N67" s="48">
        <f>L67*'Employee 01 Reconciliation'!$B$9</f>
        <v>200</v>
      </c>
      <c r="O67" s="48">
        <f>M67*'Employee 01 Reconciliation'!$B$9*1.5</f>
        <v>0</v>
      </c>
      <c r="P67" s="48">
        <f t="shared" ref="P67:P98" si="11">N67+O67</f>
        <v>200</v>
      </c>
    </row>
    <row r="68" spans="1:16" s="38" customFormat="1">
      <c r="A68" s="39" t="s">
        <v>48</v>
      </c>
      <c r="B68" s="54">
        <v>1</v>
      </c>
      <c r="C68" s="60">
        <v>46140</v>
      </c>
      <c r="D68" s="44" t="s">
        <v>44</v>
      </c>
      <c r="E68" s="45">
        <v>46113</v>
      </c>
      <c r="F68" s="56">
        <v>46139</v>
      </c>
      <c r="G68" s="46">
        <v>3</v>
      </c>
      <c r="H68" s="46">
        <v>5</v>
      </c>
      <c r="I68" s="46">
        <v>0</v>
      </c>
      <c r="J68" s="47">
        <f t="shared" si="8"/>
        <v>8</v>
      </c>
      <c r="K68" s="47">
        <f>SUMIFS($J$3:J68,$F$3:F68,F68)-J68</f>
        <v>8</v>
      </c>
      <c r="L68" s="47">
        <f t="shared" si="9"/>
        <v>8</v>
      </c>
      <c r="M68" s="47">
        <f t="shared" si="10"/>
        <v>0</v>
      </c>
      <c r="N68" s="48">
        <f>L68*'Employee 01 Reconciliation'!$B$9</f>
        <v>200</v>
      </c>
      <c r="O68" s="48">
        <f>M68*'Employee 01 Reconciliation'!$B$9*1.5</f>
        <v>0</v>
      </c>
      <c r="P68" s="48">
        <f t="shared" si="11"/>
        <v>200</v>
      </c>
    </row>
    <row r="69" spans="1:16" s="38" customFormat="1">
      <c r="A69" s="39" t="s">
        <v>48</v>
      </c>
      <c r="B69" s="54">
        <v>1</v>
      </c>
      <c r="C69" s="60">
        <v>46141</v>
      </c>
      <c r="D69" s="44" t="s">
        <v>45</v>
      </c>
      <c r="E69" s="45">
        <v>46113</v>
      </c>
      <c r="F69" s="56">
        <v>46139</v>
      </c>
      <c r="G69" s="46">
        <v>3</v>
      </c>
      <c r="H69" s="46">
        <v>5</v>
      </c>
      <c r="I69" s="46">
        <v>0</v>
      </c>
      <c r="J69" s="47">
        <f t="shared" si="8"/>
        <v>8</v>
      </c>
      <c r="K69" s="47">
        <f>SUMIFS($J$3:J69,$F$3:F69,F69)-J69</f>
        <v>16</v>
      </c>
      <c r="L69" s="47">
        <f t="shared" si="9"/>
        <v>8</v>
      </c>
      <c r="M69" s="47">
        <f t="shared" si="10"/>
        <v>0</v>
      </c>
      <c r="N69" s="48">
        <f>L69*'Employee 01 Reconciliation'!$B$9</f>
        <v>200</v>
      </c>
      <c r="O69" s="48">
        <f>M69*'Employee 01 Reconciliation'!$B$9*1.5</f>
        <v>0</v>
      </c>
      <c r="P69" s="48">
        <f t="shared" si="11"/>
        <v>200</v>
      </c>
    </row>
    <row r="70" spans="1:16" s="38" customFormat="1">
      <c r="A70" s="39" t="s">
        <v>48</v>
      </c>
      <c r="B70" s="54">
        <v>1</v>
      </c>
      <c r="C70" s="60">
        <v>46142</v>
      </c>
      <c r="D70" s="44" t="s">
        <v>41</v>
      </c>
      <c r="E70" s="45">
        <v>46113</v>
      </c>
      <c r="F70" s="56">
        <v>46139</v>
      </c>
      <c r="G70" s="46">
        <v>3</v>
      </c>
      <c r="H70" s="46">
        <v>5</v>
      </c>
      <c r="I70" s="46">
        <v>0</v>
      </c>
      <c r="J70" s="47">
        <f t="shared" si="8"/>
        <v>8</v>
      </c>
      <c r="K70" s="47">
        <f>SUMIFS($J$3:J70,$F$3:F70,F70)-J70</f>
        <v>24</v>
      </c>
      <c r="L70" s="47">
        <f t="shared" si="9"/>
        <v>8</v>
      </c>
      <c r="M70" s="47">
        <f t="shared" si="10"/>
        <v>0</v>
      </c>
      <c r="N70" s="48">
        <f>L70*'Employee 01 Reconciliation'!$B$9</f>
        <v>200</v>
      </c>
      <c r="O70" s="48">
        <f>M70*'Employee 01 Reconciliation'!$B$9*1.5</f>
        <v>0</v>
      </c>
      <c r="P70" s="48">
        <f t="shared" si="11"/>
        <v>200</v>
      </c>
    </row>
    <row r="71" spans="1:16" s="38" customFormat="1">
      <c r="A71" s="39" t="s">
        <v>48</v>
      </c>
      <c r="B71" s="54">
        <v>1</v>
      </c>
      <c r="C71" s="60">
        <v>46143</v>
      </c>
      <c r="D71" s="44" t="s">
        <v>42</v>
      </c>
      <c r="E71" s="45">
        <v>46143</v>
      </c>
      <c r="F71" s="56">
        <v>46139</v>
      </c>
      <c r="G71" s="46">
        <v>3</v>
      </c>
      <c r="H71" s="46">
        <v>5</v>
      </c>
      <c r="I71" s="46">
        <v>0</v>
      </c>
      <c r="J71" s="47">
        <f t="shared" si="8"/>
        <v>8</v>
      </c>
      <c r="K71" s="47">
        <f>SUMIFS($J$3:J71,$F$3:F71,F71)-J71</f>
        <v>32</v>
      </c>
      <c r="L71" s="47">
        <f t="shared" si="9"/>
        <v>8</v>
      </c>
      <c r="M71" s="47">
        <f t="shared" si="10"/>
        <v>0</v>
      </c>
      <c r="N71" s="48">
        <f>L71*'Employee 01 Reconciliation'!$B$9</f>
        <v>200</v>
      </c>
      <c r="O71" s="48">
        <f>M71*'Employee 01 Reconciliation'!$B$9*1.5</f>
        <v>0</v>
      </c>
      <c r="P71" s="48">
        <f t="shared" si="11"/>
        <v>200</v>
      </c>
    </row>
    <row r="72" spans="1:16" s="38" customFormat="1">
      <c r="A72" s="39" t="s">
        <v>48</v>
      </c>
      <c r="B72" s="54">
        <v>1</v>
      </c>
      <c r="C72" s="60">
        <v>46146</v>
      </c>
      <c r="D72" s="44" t="s">
        <v>43</v>
      </c>
      <c r="E72" s="45">
        <v>46143</v>
      </c>
      <c r="F72" s="56">
        <v>46146</v>
      </c>
      <c r="G72" s="46">
        <v>3</v>
      </c>
      <c r="H72" s="46">
        <v>5</v>
      </c>
      <c r="I72" s="46">
        <v>0</v>
      </c>
      <c r="J72" s="47">
        <f t="shared" si="8"/>
        <v>8</v>
      </c>
      <c r="K72" s="47">
        <f>SUMIFS($J$3:J72,$F$3:F72,F72)-J72</f>
        <v>0</v>
      </c>
      <c r="L72" s="47">
        <f t="shared" si="9"/>
        <v>8</v>
      </c>
      <c r="M72" s="47">
        <f t="shared" si="10"/>
        <v>0</v>
      </c>
      <c r="N72" s="48">
        <f>L72*'Employee 01 Reconciliation'!$B$9</f>
        <v>200</v>
      </c>
      <c r="O72" s="48">
        <f>M72*'Employee 01 Reconciliation'!$B$9*1.5</f>
        <v>0</v>
      </c>
      <c r="P72" s="48">
        <f t="shared" si="11"/>
        <v>200</v>
      </c>
    </row>
    <row r="73" spans="1:16" s="38" customFormat="1">
      <c r="A73" s="39" t="s">
        <v>48</v>
      </c>
      <c r="B73" s="54">
        <v>1</v>
      </c>
      <c r="C73" s="60">
        <v>46147</v>
      </c>
      <c r="D73" s="44" t="s">
        <v>44</v>
      </c>
      <c r="E73" s="45">
        <v>46143</v>
      </c>
      <c r="F73" s="56">
        <v>46146</v>
      </c>
      <c r="G73" s="46">
        <v>3</v>
      </c>
      <c r="H73" s="46">
        <v>5</v>
      </c>
      <c r="I73" s="46">
        <v>0</v>
      </c>
      <c r="J73" s="47">
        <f t="shared" si="8"/>
        <v>8</v>
      </c>
      <c r="K73" s="47">
        <f>SUMIFS($J$3:J73,$F$3:F73,F73)-J73</f>
        <v>8</v>
      </c>
      <c r="L73" s="47">
        <f t="shared" si="9"/>
        <v>8</v>
      </c>
      <c r="M73" s="47">
        <f t="shared" si="10"/>
        <v>0</v>
      </c>
      <c r="N73" s="48">
        <f>L73*'Employee 01 Reconciliation'!$B$9</f>
        <v>200</v>
      </c>
      <c r="O73" s="48">
        <f>M73*'Employee 01 Reconciliation'!$B$9*1.5</f>
        <v>0</v>
      </c>
      <c r="P73" s="48">
        <f t="shared" si="11"/>
        <v>200</v>
      </c>
    </row>
    <row r="74" spans="1:16" s="38" customFormat="1">
      <c r="A74" s="39" t="s">
        <v>48</v>
      </c>
      <c r="B74" s="54">
        <v>1</v>
      </c>
      <c r="C74" s="60">
        <v>46148</v>
      </c>
      <c r="D74" s="44" t="s">
        <v>45</v>
      </c>
      <c r="E74" s="45">
        <v>46143</v>
      </c>
      <c r="F74" s="56">
        <v>46146</v>
      </c>
      <c r="G74" s="46">
        <v>3</v>
      </c>
      <c r="H74" s="46">
        <v>5</v>
      </c>
      <c r="I74" s="46">
        <v>0</v>
      </c>
      <c r="J74" s="47">
        <f t="shared" si="8"/>
        <v>8</v>
      </c>
      <c r="K74" s="47">
        <f>SUMIFS($J$3:J74,$F$3:F74,F74)-J74</f>
        <v>16</v>
      </c>
      <c r="L74" s="47">
        <f t="shared" si="9"/>
        <v>8</v>
      </c>
      <c r="M74" s="47">
        <f t="shared" si="10"/>
        <v>0</v>
      </c>
      <c r="N74" s="48">
        <f>L74*'Employee 01 Reconciliation'!$B$9</f>
        <v>200</v>
      </c>
      <c r="O74" s="48">
        <f>M74*'Employee 01 Reconciliation'!$B$9*1.5</f>
        <v>0</v>
      </c>
      <c r="P74" s="48">
        <f t="shared" si="11"/>
        <v>200</v>
      </c>
    </row>
    <row r="75" spans="1:16" s="38" customFormat="1">
      <c r="A75" s="39" t="s">
        <v>48</v>
      </c>
      <c r="B75" s="54">
        <v>1</v>
      </c>
      <c r="C75" s="60">
        <v>46149</v>
      </c>
      <c r="D75" s="44" t="s">
        <v>41</v>
      </c>
      <c r="E75" s="45">
        <v>46143</v>
      </c>
      <c r="F75" s="56">
        <v>46146</v>
      </c>
      <c r="G75" s="46">
        <v>3</v>
      </c>
      <c r="H75" s="46">
        <v>5</v>
      </c>
      <c r="I75" s="46">
        <v>0</v>
      </c>
      <c r="J75" s="47">
        <f t="shared" si="8"/>
        <v>8</v>
      </c>
      <c r="K75" s="47">
        <f>SUMIFS($J$3:J75,$F$3:F75,F75)-J75</f>
        <v>24</v>
      </c>
      <c r="L75" s="47">
        <f t="shared" si="9"/>
        <v>8</v>
      </c>
      <c r="M75" s="47">
        <f t="shared" si="10"/>
        <v>0</v>
      </c>
      <c r="N75" s="48">
        <f>L75*'Employee 01 Reconciliation'!$B$9</f>
        <v>200</v>
      </c>
      <c r="O75" s="48">
        <f>M75*'Employee 01 Reconciliation'!$B$9*1.5</f>
        <v>0</v>
      </c>
      <c r="P75" s="48">
        <f t="shared" si="11"/>
        <v>200</v>
      </c>
    </row>
    <row r="76" spans="1:16" s="38" customFormat="1">
      <c r="A76" s="39" t="s">
        <v>48</v>
      </c>
      <c r="B76" s="54">
        <v>1</v>
      </c>
      <c r="C76" s="60">
        <v>46150</v>
      </c>
      <c r="D76" s="44" t="s">
        <v>42</v>
      </c>
      <c r="E76" s="45">
        <v>46143</v>
      </c>
      <c r="F76" s="56">
        <v>46146</v>
      </c>
      <c r="G76" s="46">
        <v>3</v>
      </c>
      <c r="H76" s="46">
        <v>5</v>
      </c>
      <c r="I76" s="46">
        <v>0</v>
      </c>
      <c r="J76" s="47">
        <f t="shared" si="8"/>
        <v>8</v>
      </c>
      <c r="K76" s="47">
        <f>SUMIFS($J$3:J76,$F$3:F76,F76)-J76</f>
        <v>32</v>
      </c>
      <c r="L76" s="47">
        <f t="shared" si="9"/>
        <v>8</v>
      </c>
      <c r="M76" s="47">
        <f t="shared" si="10"/>
        <v>0</v>
      </c>
      <c r="N76" s="48">
        <f>L76*'Employee 01 Reconciliation'!$B$9</f>
        <v>200</v>
      </c>
      <c r="O76" s="48">
        <f>M76*'Employee 01 Reconciliation'!$B$9*1.5</f>
        <v>0</v>
      </c>
      <c r="P76" s="48">
        <f t="shared" si="11"/>
        <v>200</v>
      </c>
    </row>
    <row r="77" spans="1:16" s="38" customFormat="1">
      <c r="A77" s="39" t="s">
        <v>48</v>
      </c>
      <c r="B77" s="54">
        <v>1</v>
      </c>
      <c r="C77" s="60">
        <v>46153</v>
      </c>
      <c r="D77" s="44" t="s">
        <v>43</v>
      </c>
      <c r="E77" s="45">
        <v>46143</v>
      </c>
      <c r="F77" s="56">
        <v>46153</v>
      </c>
      <c r="G77" s="46">
        <v>3</v>
      </c>
      <c r="H77" s="46">
        <v>5</v>
      </c>
      <c r="I77" s="46">
        <v>0</v>
      </c>
      <c r="J77" s="47">
        <f t="shared" si="8"/>
        <v>8</v>
      </c>
      <c r="K77" s="47">
        <f>SUMIFS($J$3:J77,$F$3:F77,F77)-J77</f>
        <v>0</v>
      </c>
      <c r="L77" s="47">
        <f t="shared" si="9"/>
        <v>8</v>
      </c>
      <c r="M77" s="47">
        <f t="shared" si="10"/>
        <v>0</v>
      </c>
      <c r="N77" s="48">
        <f>L77*'Employee 01 Reconciliation'!$B$9</f>
        <v>200</v>
      </c>
      <c r="O77" s="48">
        <f>M77*'Employee 01 Reconciliation'!$B$9*1.5</f>
        <v>0</v>
      </c>
      <c r="P77" s="48">
        <f t="shared" si="11"/>
        <v>200</v>
      </c>
    </row>
    <row r="78" spans="1:16" s="38" customFormat="1">
      <c r="A78" s="39" t="s">
        <v>48</v>
      </c>
      <c r="B78" s="54">
        <v>1</v>
      </c>
      <c r="C78" s="60">
        <v>46154</v>
      </c>
      <c r="D78" s="44" t="s">
        <v>44</v>
      </c>
      <c r="E78" s="45">
        <v>46143</v>
      </c>
      <c r="F78" s="56">
        <v>46153</v>
      </c>
      <c r="G78" s="46">
        <v>3</v>
      </c>
      <c r="H78" s="46">
        <v>5</v>
      </c>
      <c r="I78" s="46">
        <v>0</v>
      </c>
      <c r="J78" s="47">
        <f t="shared" si="8"/>
        <v>8</v>
      </c>
      <c r="K78" s="47">
        <f>SUMIFS($J$3:J78,$F$3:F78,F78)-J78</f>
        <v>8</v>
      </c>
      <c r="L78" s="47">
        <f t="shared" si="9"/>
        <v>8</v>
      </c>
      <c r="M78" s="47">
        <f t="shared" si="10"/>
        <v>0</v>
      </c>
      <c r="N78" s="48">
        <f>L78*'Employee 01 Reconciliation'!$B$9</f>
        <v>200</v>
      </c>
      <c r="O78" s="48">
        <f>M78*'Employee 01 Reconciliation'!$B$9*1.5</f>
        <v>0</v>
      </c>
      <c r="P78" s="48">
        <f t="shared" si="11"/>
        <v>200</v>
      </c>
    </row>
    <row r="79" spans="1:16" s="38" customFormat="1">
      <c r="A79" s="39" t="s">
        <v>48</v>
      </c>
      <c r="B79" s="54">
        <v>1</v>
      </c>
      <c r="C79" s="60">
        <v>46155</v>
      </c>
      <c r="D79" s="44" t="s">
        <v>45</v>
      </c>
      <c r="E79" s="45">
        <v>46143</v>
      </c>
      <c r="F79" s="56">
        <v>46153</v>
      </c>
      <c r="G79" s="46">
        <v>3</v>
      </c>
      <c r="H79" s="46">
        <v>5</v>
      </c>
      <c r="I79" s="46">
        <v>0</v>
      </c>
      <c r="J79" s="47">
        <f t="shared" si="8"/>
        <v>8</v>
      </c>
      <c r="K79" s="47">
        <f>SUMIFS($J$3:J79,$F$3:F79,F79)-J79</f>
        <v>16</v>
      </c>
      <c r="L79" s="47">
        <f t="shared" si="9"/>
        <v>8</v>
      </c>
      <c r="M79" s="47">
        <f t="shared" si="10"/>
        <v>0</v>
      </c>
      <c r="N79" s="48">
        <f>L79*'Employee 01 Reconciliation'!$B$9</f>
        <v>200</v>
      </c>
      <c r="O79" s="48">
        <f>M79*'Employee 01 Reconciliation'!$B$9*1.5</f>
        <v>0</v>
      </c>
      <c r="P79" s="48">
        <f t="shared" si="11"/>
        <v>200</v>
      </c>
    </row>
    <row r="80" spans="1:16" s="38" customFormat="1">
      <c r="A80" s="39" t="s">
        <v>48</v>
      </c>
      <c r="B80" s="54">
        <v>1</v>
      </c>
      <c r="C80" s="60">
        <v>46156</v>
      </c>
      <c r="D80" s="44" t="s">
        <v>41</v>
      </c>
      <c r="E80" s="45">
        <v>46143</v>
      </c>
      <c r="F80" s="56">
        <v>46153</v>
      </c>
      <c r="G80" s="46">
        <v>2.75</v>
      </c>
      <c r="H80" s="46">
        <v>5</v>
      </c>
      <c r="I80" s="46">
        <v>0</v>
      </c>
      <c r="J80" s="47">
        <f t="shared" si="8"/>
        <v>7.75</v>
      </c>
      <c r="K80" s="47">
        <f>SUMIFS($J$3:J80,$F$3:F80,F80)-J80</f>
        <v>24</v>
      </c>
      <c r="L80" s="47">
        <f t="shared" si="9"/>
        <v>7.75</v>
      </c>
      <c r="M80" s="47">
        <f t="shared" si="10"/>
        <v>0</v>
      </c>
      <c r="N80" s="48">
        <f>L80*'Employee 01 Reconciliation'!$B$9</f>
        <v>193.75</v>
      </c>
      <c r="O80" s="48">
        <f>M80*'Employee 01 Reconciliation'!$B$9*1.5</f>
        <v>0</v>
      </c>
      <c r="P80" s="48">
        <f t="shared" si="11"/>
        <v>193.75</v>
      </c>
    </row>
    <row r="81" spans="1:16" s="38" customFormat="1">
      <c r="A81" s="39" t="s">
        <v>48</v>
      </c>
      <c r="B81" s="54">
        <v>1</v>
      </c>
      <c r="C81" s="60">
        <v>46157</v>
      </c>
      <c r="D81" s="44" t="s">
        <v>42</v>
      </c>
      <c r="E81" s="45">
        <v>46143</v>
      </c>
      <c r="F81" s="56">
        <v>46153</v>
      </c>
      <c r="G81" s="46">
        <v>2.75</v>
      </c>
      <c r="H81" s="46">
        <v>5</v>
      </c>
      <c r="I81" s="46">
        <v>0</v>
      </c>
      <c r="J81" s="47">
        <f t="shared" si="8"/>
        <v>7.75</v>
      </c>
      <c r="K81" s="47">
        <f>SUMIFS($J$3:J81,$F$3:F81,F81)-J81</f>
        <v>31.75</v>
      </c>
      <c r="L81" s="47">
        <f t="shared" si="9"/>
        <v>7.75</v>
      </c>
      <c r="M81" s="47">
        <f t="shared" si="10"/>
        <v>0</v>
      </c>
      <c r="N81" s="48">
        <f>L81*'Employee 01 Reconciliation'!$B$9</f>
        <v>193.75</v>
      </c>
      <c r="O81" s="48">
        <f>M81*'Employee 01 Reconciliation'!$B$9*1.5</f>
        <v>0</v>
      </c>
      <c r="P81" s="48">
        <f t="shared" si="11"/>
        <v>193.75</v>
      </c>
    </row>
    <row r="82" spans="1:16" s="38" customFormat="1">
      <c r="A82" s="39" t="s">
        <v>48</v>
      </c>
      <c r="B82" s="54">
        <v>1</v>
      </c>
      <c r="C82" s="60">
        <v>46160</v>
      </c>
      <c r="D82" s="44" t="s">
        <v>43</v>
      </c>
      <c r="E82" s="45">
        <v>46143</v>
      </c>
      <c r="F82" s="56">
        <v>46160</v>
      </c>
      <c r="G82" s="46">
        <v>2.75</v>
      </c>
      <c r="H82" s="46">
        <v>5</v>
      </c>
      <c r="I82" s="46">
        <v>0</v>
      </c>
      <c r="J82" s="47">
        <f t="shared" si="8"/>
        <v>7.75</v>
      </c>
      <c r="K82" s="47">
        <f>SUMIFS($J$3:J82,$F$3:F82,F82)-J82</f>
        <v>0</v>
      </c>
      <c r="L82" s="47">
        <f t="shared" si="9"/>
        <v>7.75</v>
      </c>
      <c r="M82" s="47">
        <f t="shared" si="10"/>
        <v>0</v>
      </c>
      <c r="N82" s="48">
        <f>L82*'Employee 01 Reconciliation'!$B$9</f>
        <v>193.75</v>
      </c>
      <c r="O82" s="48">
        <f>M82*'Employee 01 Reconciliation'!$B$9*1.5</f>
        <v>0</v>
      </c>
      <c r="P82" s="48">
        <f t="shared" si="11"/>
        <v>193.75</v>
      </c>
    </row>
    <row r="83" spans="1:16" s="38" customFormat="1">
      <c r="A83" s="39" t="s">
        <v>48</v>
      </c>
      <c r="B83" s="54">
        <v>1</v>
      </c>
      <c r="C83" s="60">
        <v>46161</v>
      </c>
      <c r="D83" s="44" t="s">
        <v>44</v>
      </c>
      <c r="E83" s="45">
        <v>46143</v>
      </c>
      <c r="F83" s="56">
        <v>46160</v>
      </c>
      <c r="G83" s="46">
        <v>2.75</v>
      </c>
      <c r="H83" s="46">
        <v>5</v>
      </c>
      <c r="I83" s="46">
        <v>0</v>
      </c>
      <c r="J83" s="47">
        <f t="shared" si="8"/>
        <v>7.75</v>
      </c>
      <c r="K83" s="47">
        <f>SUMIFS($J$3:J83,$F$3:F83,F83)-J83</f>
        <v>7.75</v>
      </c>
      <c r="L83" s="47">
        <f t="shared" si="9"/>
        <v>7.75</v>
      </c>
      <c r="M83" s="47">
        <f t="shared" si="10"/>
        <v>0</v>
      </c>
      <c r="N83" s="48">
        <f>L83*'Employee 01 Reconciliation'!$B$9</f>
        <v>193.75</v>
      </c>
      <c r="O83" s="48">
        <f>M83*'Employee 01 Reconciliation'!$B$9*1.5</f>
        <v>0</v>
      </c>
      <c r="P83" s="48">
        <f t="shared" si="11"/>
        <v>193.75</v>
      </c>
    </row>
    <row r="84" spans="1:16" s="38" customFormat="1">
      <c r="A84" s="39" t="s">
        <v>48</v>
      </c>
      <c r="B84" s="54">
        <v>1</v>
      </c>
      <c r="C84" s="60">
        <v>46162</v>
      </c>
      <c r="D84" s="44" t="s">
        <v>45</v>
      </c>
      <c r="E84" s="45">
        <v>46143</v>
      </c>
      <c r="F84" s="56">
        <v>46160</v>
      </c>
      <c r="G84" s="46">
        <v>2.75</v>
      </c>
      <c r="H84" s="46">
        <v>5</v>
      </c>
      <c r="I84" s="46">
        <v>0</v>
      </c>
      <c r="J84" s="47">
        <f t="shared" si="8"/>
        <v>7.75</v>
      </c>
      <c r="K84" s="47">
        <f>SUMIFS($J$3:J84,$F$3:F84,F84)-J84</f>
        <v>15.5</v>
      </c>
      <c r="L84" s="47">
        <f t="shared" si="9"/>
        <v>7.75</v>
      </c>
      <c r="M84" s="47">
        <f t="shared" si="10"/>
        <v>0</v>
      </c>
      <c r="N84" s="48">
        <f>L84*'Employee 01 Reconciliation'!$B$9</f>
        <v>193.75</v>
      </c>
      <c r="O84" s="48">
        <f>M84*'Employee 01 Reconciliation'!$B$9*1.5</f>
        <v>0</v>
      </c>
      <c r="P84" s="48">
        <f t="shared" si="11"/>
        <v>193.75</v>
      </c>
    </row>
    <row r="85" spans="1:16" s="38" customFormat="1">
      <c r="A85" s="39" t="s">
        <v>48</v>
      </c>
      <c r="B85" s="54">
        <v>1</v>
      </c>
      <c r="C85" s="60">
        <v>46163</v>
      </c>
      <c r="D85" s="44" t="s">
        <v>41</v>
      </c>
      <c r="E85" s="45">
        <v>46143</v>
      </c>
      <c r="F85" s="56">
        <v>46160</v>
      </c>
      <c r="G85" s="46">
        <v>2.75</v>
      </c>
      <c r="H85" s="46">
        <v>5</v>
      </c>
      <c r="I85" s="46">
        <v>0</v>
      </c>
      <c r="J85" s="47">
        <f t="shared" si="8"/>
        <v>7.75</v>
      </c>
      <c r="K85" s="47">
        <f>SUMIFS($J$3:J85,$F$3:F85,F85)-J85</f>
        <v>23.25</v>
      </c>
      <c r="L85" s="47">
        <f t="shared" si="9"/>
        <v>7.75</v>
      </c>
      <c r="M85" s="47">
        <f t="shared" si="10"/>
        <v>0</v>
      </c>
      <c r="N85" s="48">
        <f>L85*'Employee 01 Reconciliation'!$B$9</f>
        <v>193.75</v>
      </c>
      <c r="O85" s="48">
        <f>M85*'Employee 01 Reconciliation'!$B$9*1.5</f>
        <v>0</v>
      </c>
      <c r="P85" s="48">
        <f t="shared" si="11"/>
        <v>193.75</v>
      </c>
    </row>
    <row r="86" spans="1:16" s="38" customFormat="1">
      <c r="A86" s="39" t="s">
        <v>48</v>
      </c>
      <c r="B86" s="54">
        <v>1</v>
      </c>
      <c r="C86" s="60">
        <v>46164</v>
      </c>
      <c r="D86" s="44" t="s">
        <v>42</v>
      </c>
      <c r="E86" s="45">
        <v>46143</v>
      </c>
      <c r="F86" s="56">
        <v>46160</v>
      </c>
      <c r="G86" s="46">
        <v>2.75</v>
      </c>
      <c r="H86" s="46">
        <v>5</v>
      </c>
      <c r="I86" s="46">
        <v>0</v>
      </c>
      <c r="J86" s="47">
        <f t="shared" si="8"/>
        <v>7.75</v>
      </c>
      <c r="K86" s="47">
        <f>SUMIFS($J$3:J86,$F$3:F86,F86)-J86</f>
        <v>31</v>
      </c>
      <c r="L86" s="47">
        <f t="shared" si="9"/>
        <v>7.75</v>
      </c>
      <c r="M86" s="47">
        <f t="shared" si="10"/>
        <v>0</v>
      </c>
      <c r="N86" s="48">
        <f>L86*'Employee 01 Reconciliation'!$B$9</f>
        <v>193.75</v>
      </c>
      <c r="O86" s="48">
        <f>M86*'Employee 01 Reconciliation'!$B$9*1.5</f>
        <v>0</v>
      </c>
      <c r="P86" s="48">
        <f t="shared" si="11"/>
        <v>193.75</v>
      </c>
    </row>
    <row r="87" spans="1:16" s="38" customFormat="1">
      <c r="A87" s="39" t="s">
        <v>48</v>
      </c>
      <c r="B87" s="54">
        <v>1</v>
      </c>
      <c r="C87" s="60">
        <v>46167</v>
      </c>
      <c r="D87" s="44" t="s">
        <v>43</v>
      </c>
      <c r="E87" s="45">
        <v>46143</v>
      </c>
      <c r="F87" s="56">
        <v>46167</v>
      </c>
      <c r="G87" s="46">
        <v>2.75</v>
      </c>
      <c r="H87" s="46">
        <v>5</v>
      </c>
      <c r="I87" s="46">
        <v>0</v>
      </c>
      <c r="J87" s="47">
        <f t="shared" si="8"/>
        <v>7.75</v>
      </c>
      <c r="K87" s="47">
        <f>SUMIFS($J$3:J87,$F$3:F87,F87)-J87</f>
        <v>0</v>
      </c>
      <c r="L87" s="47">
        <f t="shared" si="9"/>
        <v>7.75</v>
      </c>
      <c r="M87" s="47">
        <f t="shared" si="10"/>
        <v>0</v>
      </c>
      <c r="N87" s="48">
        <f>L87*'Employee 01 Reconciliation'!$B$9</f>
        <v>193.75</v>
      </c>
      <c r="O87" s="48">
        <f>M87*'Employee 01 Reconciliation'!$B$9*1.5</f>
        <v>0</v>
      </c>
      <c r="P87" s="48">
        <f t="shared" si="11"/>
        <v>193.75</v>
      </c>
    </row>
    <row r="88" spans="1:16" s="38" customFormat="1">
      <c r="A88" s="39" t="s">
        <v>48</v>
      </c>
      <c r="B88" s="54">
        <v>1</v>
      </c>
      <c r="C88" s="60">
        <v>46168</v>
      </c>
      <c r="D88" s="44" t="s">
        <v>44</v>
      </c>
      <c r="E88" s="45">
        <v>46143</v>
      </c>
      <c r="F88" s="56">
        <v>46167</v>
      </c>
      <c r="G88" s="46">
        <v>2.75</v>
      </c>
      <c r="H88" s="46">
        <v>5</v>
      </c>
      <c r="I88" s="46">
        <v>0</v>
      </c>
      <c r="J88" s="47">
        <f t="shared" si="8"/>
        <v>7.75</v>
      </c>
      <c r="K88" s="47">
        <f>SUMIFS($J$3:J88,$F$3:F88,F88)-J88</f>
        <v>7.75</v>
      </c>
      <c r="L88" s="47">
        <f t="shared" si="9"/>
        <v>7.75</v>
      </c>
      <c r="M88" s="47">
        <f t="shared" si="10"/>
        <v>0</v>
      </c>
      <c r="N88" s="48">
        <f>L88*'Employee 01 Reconciliation'!$B$9</f>
        <v>193.75</v>
      </c>
      <c r="O88" s="48">
        <f>M88*'Employee 01 Reconciliation'!$B$9*1.5</f>
        <v>0</v>
      </c>
      <c r="P88" s="48">
        <f t="shared" si="11"/>
        <v>193.75</v>
      </c>
    </row>
    <row r="89" spans="1:16" s="38" customFormat="1">
      <c r="A89" s="39" t="s">
        <v>48</v>
      </c>
      <c r="B89" s="54">
        <v>1</v>
      </c>
      <c r="C89" s="60">
        <v>46169</v>
      </c>
      <c r="D89" s="44" t="s">
        <v>45</v>
      </c>
      <c r="E89" s="45">
        <v>46143</v>
      </c>
      <c r="F89" s="56">
        <v>46167</v>
      </c>
      <c r="G89" s="46">
        <v>2.75</v>
      </c>
      <c r="H89" s="46">
        <v>5</v>
      </c>
      <c r="I89" s="46">
        <v>0</v>
      </c>
      <c r="J89" s="47">
        <f t="shared" si="8"/>
        <v>7.75</v>
      </c>
      <c r="K89" s="47">
        <f>SUMIFS($J$3:J89,$F$3:F89,F89)-J89</f>
        <v>15.5</v>
      </c>
      <c r="L89" s="47">
        <f t="shared" si="9"/>
        <v>7.75</v>
      </c>
      <c r="M89" s="47">
        <f t="shared" si="10"/>
        <v>0</v>
      </c>
      <c r="N89" s="48">
        <f>L89*'Employee 01 Reconciliation'!$B$9</f>
        <v>193.75</v>
      </c>
      <c r="O89" s="48">
        <f>M89*'Employee 01 Reconciliation'!$B$9*1.5</f>
        <v>0</v>
      </c>
      <c r="P89" s="48">
        <f t="shared" si="11"/>
        <v>193.75</v>
      </c>
    </row>
    <row r="90" spans="1:16" s="38" customFormat="1">
      <c r="A90" s="39" t="s">
        <v>48</v>
      </c>
      <c r="B90" s="54">
        <v>1</v>
      </c>
      <c r="C90" s="60">
        <v>46170</v>
      </c>
      <c r="D90" s="44" t="s">
        <v>41</v>
      </c>
      <c r="E90" s="45">
        <v>46143</v>
      </c>
      <c r="F90" s="56">
        <v>46167</v>
      </c>
      <c r="G90" s="46">
        <v>2.75</v>
      </c>
      <c r="H90" s="46">
        <v>5</v>
      </c>
      <c r="I90" s="46">
        <v>0</v>
      </c>
      <c r="J90" s="47">
        <f t="shared" si="8"/>
        <v>7.75</v>
      </c>
      <c r="K90" s="47">
        <f>SUMIFS($J$3:J90,$F$3:F90,F90)-J90</f>
        <v>23.25</v>
      </c>
      <c r="L90" s="47">
        <f t="shared" si="9"/>
        <v>7.75</v>
      </c>
      <c r="M90" s="47">
        <f t="shared" si="10"/>
        <v>0</v>
      </c>
      <c r="N90" s="48">
        <f>L90*'Employee 01 Reconciliation'!$B$9</f>
        <v>193.75</v>
      </c>
      <c r="O90" s="48">
        <f>M90*'Employee 01 Reconciliation'!$B$9*1.5</f>
        <v>0</v>
      </c>
      <c r="P90" s="48">
        <f t="shared" si="11"/>
        <v>193.75</v>
      </c>
    </row>
    <row r="91" spans="1:16" s="38" customFormat="1">
      <c r="A91" s="39" t="s">
        <v>48</v>
      </c>
      <c r="B91" s="54">
        <v>1</v>
      </c>
      <c r="C91" s="60">
        <v>46171</v>
      </c>
      <c r="D91" s="44" t="s">
        <v>42</v>
      </c>
      <c r="E91" s="45">
        <v>46143</v>
      </c>
      <c r="F91" s="56">
        <v>46167</v>
      </c>
      <c r="G91" s="46">
        <v>2.75</v>
      </c>
      <c r="H91" s="46">
        <v>5</v>
      </c>
      <c r="I91" s="46">
        <v>0</v>
      </c>
      <c r="J91" s="47">
        <f t="shared" si="8"/>
        <v>7.75</v>
      </c>
      <c r="K91" s="47">
        <f>SUMIFS($J$3:J91,$F$3:F91,F91)-J91</f>
        <v>31</v>
      </c>
      <c r="L91" s="47">
        <f t="shared" si="9"/>
        <v>7.75</v>
      </c>
      <c r="M91" s="47">
        <f t="shared" si="10"/>
        <v>0</v>
      </c>
      <c r="N91" s="48">
        <f>L91*'Employee 01 Reconciliation'!$B$9</f>
        <v>193.75</v>
      </c>
      <c r="O91" s="48">
        <f>M91*'Employee 01 Reconciliation'!$B$9*1.5</f>
        <v>0</v>
      </c>
      <c r="P91" s="48">
        <f t="shared" si="11"/>
        <v>193.75</v>
      </c>
    </row>
    <row r="92" spans="1:16" s="38" customFormat="1">
      <c r="A92" s="39" t="s">
        <v>48</v>
      </c>
      <c r="B92" s="54">
        <v>1</v>
      </c>
      <c r="C92" s="60">
        <v>46174</v>
      </c>
      <c r="D92" s="44" t="s">
        <v>43</v>
      </c>
      <c r="E92" s="45">
        <v>46174</v>
      </c>
      <c r="F92" s="56">
        <v>46174</v>
      </c>
      <c r="G92" s="46">
        <v>3.75</v>
      </c>
      <c r="H92" s="46">
        <v>5</v>
      </c>
      <c r="I92" s="46">
        <v>0</v>
      </c>
      <c r="J92" s="47">
        <f t="shared" si="8"/>
        <v>8.75</v>
      </c>
      <c r="K92" s="47">
        <f>SUMIFS($J$3:J92,$F$3:F92,F92)-J92</f>
        <v>0</v>
      </c>
      <c r="L92" s="47">
        <f t="shared" si="9"/>
        <v>8.75</v>
      </c>
      <c r="M92" s="47">
        <f t="shared" si="10"/>
        <v>0</v>
      </c>
      <c r="N92" s="48">
        <f>L92*'Employee 01 Reconciliation'!$B$9</f>
        <v>218.75</v>
      </c>
      <c r="O92" s="48">
        <f>M92*'Employee 01 Reconciliation'!$B$9*1.5</f>
        <v>0</v>
      </c>
      <c r="P92" s="48">
        <f t="shared" si="11"/>
        <v>218.75</v>
      </c>
    </row>
    <row r="93" spans="1:16" s="38" customFormat="1">
      <c r="A93" s="39" t="s">
        <v>48</v>
      </c>
      <c r="B93" s="54">
        <v>1</v>
      </c>
      <c r="C93" s="60">
        <v>46175</v>
      </c>
      <c r="D93" s="44" t="s">
        <v>44</v>
      </c>
      <c r="E93" s="45">
        <v>46174</v>
      </c>
      <c r="F93" s="56">
        <v>46174</v>
      </c>
      <c r="G93" s="46">
        <v>3.75</v>
      </c>
      <c r="H93" s="46">
        <v>5</v>
      </c>
      <c r="I93" s="46">
        <v>0</v>
      </c>
      <c r="J93" s="47">
        <f t="shared" si="8"/>
        <v>8.75</v>
      </c>
      <c r="K93" s="47">
        <f>SUMIFS($J$3:J93,$F$3:F93,F93)-J93</f>
        <v>8.75</v>
      </c>
      <c r="L93" s="47">
        <f t="shared" si="9"/>
        <v>8.75</v>
      </c>
      <c r="M93" s="47">
        <f t="shared" si="10"/>
        <v>0</v>
      </c>
      <c r="N93" s="48">
        <f>L93*'Employee 01 Reconciliation'!$B$9</f>
        <v>218.75</v>
      </c>
      <c r="O93" s="48">
        <f>M93*'Employee 01 Reconciliation'!$B$9*1.5</f>
        <v>0</v>
      </c>
      <c r="P93" s="48">
        <f t="shared" si="11"/>
        <v>218.75</v>
      </c>
    </row>
    <row r="94" spans="1:16" s="38" customFormat="1">
      <c r="A94" s="39" t="s">
        <v>48</v>
      </c>
      <c r="B94" s="54">
        <v>1</v>
      </c>
      <c r="C94" s="60">
        <v>46176</v>
      </c>
      <c r="D94" s="44" t="s">
        <v>45</v>
      </c>
      <c r="E94" s="45">
        <v>46174</v>
      </c>
      <c r="F94" s="56">
        <v>46174</v>
      </c>
      <c r="G94" s="46">
        <v>3.75</v>
      </c>
      <c r="H94" s="46">
        <v>5</v>
      </c>
      <c r="I94" s="46">
        <v>0</v>
      </c>
      <c r="J94" s="47">
        <f t="shared" si="8"/>
        <v>8.75</v>
      </c>
      <c r="K94" s="47">
        <f>SUMIFS($J$3:J94,$F$3:F94,F94)-J94</f>
        <v>17.5</v>
      </c>
      <c r="L94" s="47">
        <f t="shared" si="9"/>
        <v>8.75</v>
      </c>
      <c r="M94" s="47">
        <f t="shared" si="10"/>
        <v>0</v>
      </c>
      <c r="N94" s="48">
        <f>L94*'Employee 01 Reconciliation'!$B$9</f>
        <v>218.75</v>
      </c>
      <c r="O94" s="48">
        <f>M94*'Employee 01 Reconciliation'!$B$9*1.5</f>
        <v>0</v>
      </c>
      <c r="P94" s="48">
        <f t="shared" si="11"/>
        <v>218.75</v>
      </c>
    </row>
    <row r="95" spans="1:16" s="38" customFormat="1">
      <c r="A95" s="39" t="s">
        <v>48</v>
      </c>
      <c r="B95" s="54">
        <v>1</v>
      </c>
      <c r="C95" s="60">
        <v>46177</v>
      </c>
      <c r="D95" s="44" t="s">
        <v>41</v>
      </c>
      <c r="E95" s="45">
        <v>46174</v>
      </c>
      <c r="F95" s="56">
        <v>46174</v>
      </c>
      <c r="G95" s="46">
        <v>3.75</v>
      </c>
      <c r="H95" s="46">
        <v>5</v>
      </c>
      <c r="I95" s="46">
        <v>0</v>
      </c>
      <c r="J95" s="47">
        <f t="shared" si="8"/>
        <v>8.75</v>
      </c>
      <c r="K95" s="47">
        <f>SUMIFS($J$3:J95,$F$3:F95,F95)-J95</f>
        <v>26.25</v>
      </c>
      <c r="L95" s="47">
        <f t="shared" si="9"/>
        <v>8.75</v>
      </c>
      <c r="M95" s="47">
        <f t="shared" si="10"/>
        <v>0</v>
      </c>
      <c r="N95" s="48">
        <f>L95*'Employee 01 Reconciliation'!$B$9</f>
        <v>218.75</v>
      </c>
      <c r="O95" s="48">
        <f>M95*'Employee 01 Reconciliation'!$B$9*1.5</f>
        <v>0</v>
      </c>
      <c r="P95" s="48">
        <f t="shared" si="11"/>
        <v>218.75</v>
      </c>
    </row>
    <row r="96" spans="1:16" s="38" customFormat="1" ht="15">
      <c r="A96" s="39" t="s">
        <v>48</v>
      </c>
      <c r="B96" s="54">
        <v>1</v>
      </c>
      <c r="C96" s="60">
        <v>46178</v>
      </c>
      <c r="D96" s="44" t="s">
        <v>42</v>
      </c>
      <c r="E96" s="45">
        <v>46174</v>
      </c>
      <c r="F96" s="56">
        <v>46174</v>
      </c>
      <c r="G96" s="46">
        <v>3.75</v>
      </c>
      <c r="H96" s="46">
        <v>5</v>
      </c>
      <c r="I96" s="46">
        <v>0</v>
      </c>
      <c r="J96" s="47">
        <f t="shared" si="8"/>
        <v>8.75</v>
      </c>
      <c r="K96" s="47">
        <f>SUMIFS($J$3:J96,$F$3:F96,F96)-J96</f>
        <v>35</v>
      </c>
      <c r="L96" s="47">
        <f t="shared" si="9"/>
        <v>5</v>
      </c>
      <c r="M96" s="47">
        <f t="shared" si="10"/>
        <v>3.75</v>
      </c>
      <c r="N96" s="48">
        <f>L96*'Employee 01 Reconciliation'!$B$9</f>
        <v>125</v>
      </c>
      <c r="O96" s="48">
        <f>M96*'Employee 01 Reconciliation'!$B$9*1.5</f>
        <v>140.625</v>
      </c>
      <c r="P96" s="48">
        <f t="shared" si="11"/>
        <v>265.625</v>
      </c>
    </row>
    <row r="97" spans="1:16" s="38" customFormat="1">
      <c r="A97" s="39" t="s">
        <v>48</v>
      </c>
      <c r="B97" s="54">
        <v>1</v>
      </c>
      <c r="C97" s="60">
        <v>46181</v>
      </c>
      <c r="D97" s="44" t="s">
        <v>43</v>
      </c>
      <c r="E97" s="45">
        <v>46174</v>
      </c>
      <c r="F97" s="56">
        <v>46181</v>
      </c>
      <c r="G97" s="46">
        <v>3.75</v>
      </c>
      <c r="H97" s="46">
        <v>5</v>
      </c>
      <c r="I97" s="46">
        <v>0</v>
      </c>
      <c r="J97" s="47">
        <f t="shared" si="8"/>
        <v>8.75</v>
      </c>
      <c r="K97" s="47">
        <f>SUMIFS($J$3:J97,$F$3:F97,F97)-J97</f>
        <v>0</v>
      </c>
      <c r="L97" s="47">
        <f t="shared" si="9"/>
        <v>8.75</v>
      </c>
      <c r="M97" s="47">
        <f t="shared" si="10"/>
        <v>0</v>
      </c>
      <c r="N97" s="48">
        <f>L97*'Employee 01 Reconciliation'!$B$9</f>
        <v>218.75</v>
      </c>
      <c r="O97" s="48">
        <f>M97*'Employee 01 Reconciliation'!$B$9*1.5</f>
        <v>0</v>
      </c>
      <c r="P97" s="48">
        <f t="shared" si="11"/>
        <v>218.75</v>
      </c>
    </row>
    <row r="98" spans="1:16" s="38" customFormat="1">
      <c r="A98" s="39" t="s">
        <v>48</v>
      </c>
      <c r="B98" s="54">
        <v>1</v>
      </c>
      <c r="C98" s="60">
        <v>46182</v>
      </c>
      <c r="D98" s="44" t="s">
        <v>44</v>
      </c>
      <c r="E98" s="45">
        <v>46174</v>
      </c>
      <c r="F98" s="56">
        <v>46181</v>
      </c>
      <c r="G98" s="46">
        <v>3.75</v>
      </c>
      <c r="H98" s="46">
        <v>5</v>
      </c>
      <c r="I98" s="46">
        <v>0</v>
      </c>
      <c r="J98" s="47">
        <f t="shared" si="8"/>
        <v>8.75</v>
      </c>
      <c r="K98" s="47">
        <f>SUMIFS($J$3:J98,$F$3:F98,F98)-J98</f>
        <v>8.75</v>
      </c>
      <c r="L98" s="47">
        <f t="shared" si="9"/>
        <v>8.75</v>
      </c>
      <c r="M98" s="47">
        <f t="shared" si="10"/>
        <v>0</v>
      </c>
      <c r="N98" s="48">
        <f>L98*'Employee 01 Reconciliation'!$B$9</f>
        <v>218.75</v>
      </c>
      <c r="O98" s="48">
        <f>M98*'Employee 01 Reconciliation'!$B$9*1.5</f>
        <v>0</v>
      </c>
      <c r="P98" s="48">
        <f t="shared" si="11"/>
        <v>218.75</v>
      </c>
    </row>
    <row r="99" spans="1:16" s="38" customFormat="1">
      <c r="A99" s="39" t="s">
        <v>48</v>
      </c>
      <c r="B99" s="54">
        <v>1</v>
      </c>
      <c r="C99" s="60">
        <v>46183</v>
      </c>
      <c r="D99" s="44" t="s">
        <v>45</v>
      </c>
      <c r="E99" s="45">
        <v>46174</v>
      </c>
      <c r="F99" s="56">
        <v>46181</v>
      </c>
      <c r="G99" s="46">
        <v>3.75</v>
      </c>
      <c r="H99" s="46">
        <v>5</v>
      </c>
      <c r="I99" s="46">
        <v>0</v>
      </c>
      <c r="J99" s="47">
        <f t="shared" ref="J99:J130" si="12">G99+H99-I99</f>
        <v>8.75</v>
      </c>
      <c r="K99" s="47">
        <f>SUMIFS($J$3:J99,$F$3:F99,F99)-J99</f>
        <v>17.5</v>
      </c>
      <c r="L99" s="47">
        <f t="shared" ref="L99:L130" si="13">MIN(J99,MAX(0,40-K99))</f>
        <v>8.75</v>
      </c>
      <c r="M99" s="47">
        <f t="shared" ref="M99:M130" si="14">J99-L99</f>
        <v>0</v>
      </c>
      <c r="N99" s="48">
        <f>L99*'Employee 01 Reconciliation'!$B$9</f>
        <v>218.75</v>
      </c>
      <c r="O99" s="48">
        <f>M99*'Employee 01 Reconciliation'!$B$9*1.5</f>
        <v>0</v>
      </c>
      <c r="P99" s="48">
        <f t="shared" ref="P99:P130" si="15">N99+O99</f>
        <v>218.75</v>
      </c>
    </row>
    <row r="100" spans="1:16" s="38" customFormat="1">
      <c r="A100" s="39" t="s">
        <v>48</v>
      </c>
      <c r="B100" s="54">
        <v>1</v>
      </c>
      <c r="C100" s="60">
        <v>46184</v>
      </c>
      <c r="D100" s="44" t="s">
        <v>41</v>
      </c>
      <c r="E100" s="45">
        <v>46174</v>
      </c>
      <c r="F100" s="56">
        <v>46181</v>
      </c>
      <c r="G100" s="46">
        <v>3.75</v>
      </c>
      <c r="H100" s="46">
        <v>5</v>
      </c>
      <c r="I100" s="46">
        <v>0</v>
      </c>
      <c r="J100" s="47">
        <f t="shared" si="12"/>
        <v>8.75</v>
      </c>
      <c r="K100" s="47">
        <f>SUMIFS($J$3:J100,$F$3:F100,F100)-J100</f>
        <v>26.25</v>
      </c>
      <c r="L100" s="47">
        <f t="shared" si="13"/>
        <v>8.75</v>
      </c>
      <c r="M100" s="47">
        <f t="shared" si="14"/>
        <v>0</v>
      </c>
      <c r="N100" s="48">
        <f>L100*'Employee 01 Reconciliation'!$B$9</f>
        <v>218.75</v>
      </c>
      <c r="O100" s="48">
        <f>M100*'Employee 01 Reconciliation'!$B$9*1.5</f>
        <v>0</v>
      </c>
      <c r="P100" s="48">
        <f t="shared" si="15"/>
        <v>218.75</v>
      </c>
    </row>
    <row r="101" spans="1:16" s="38" customFormat="1" ht="15">
      <c r="A101" s="39" t="s">
        <v>48</v>
      </c>
      <c r="B101" s="54">
        <v>1</v>
      </c>
      <c r="C101" s="60">
        <v>46185</v>
      </c>
      <c r="D101" s="44" t="s">
        <v>42</v>
      </c>
      <c r="E101" s="45">
        <v>46174</v>
      </c>
      <c r="F101" s="56">
        <v>46181</v>
      </c>
      <c r="G101" s="46">
        <v>3.75</v>
      </c>
      <c r="H101" s="46">
        <v>5</v>
      </c>
      <c r="I101" s="46">
        <v>0</v>
      </c>
      <c r="J101" s="47">
        <f t="shared" si="12"/>
        <v>8.75</v>
      </c>
      <c r="K101" s="47">
        <f>SUMIFS($J$3:J101,$F$3:F101,F101)-J101</f>
        <v>35</v>
      </c>
      <c r="L101" s="47">
        <f t="shared" si="13"/>
        <v>5</v>
      </c>
      <c r="M101" s="47">
        <f t="shared" si="14"/>
        <v>3.75</v>
      </c>
      <c r="N101" s="48">
        <f>L101*'Employee 01 Reconciliation'!$B$9</f>
        <v>125</v>
      </c>
      <c r="O101" s="48">
        <f>M101*'Employee 01 Reconciliation'!$B$9*1.5</f>
        <v>140.625</v>
      </c>
      <c r="P101" s="48">
        <f t="shared" si="15"/>
        <v>265.625</v>
      </c>
    </row>
    <row r="102" spans="1:16" s="38" customFormat="1">
      <c r="A102" s="39" t="s">
        <v>48</v>
      </c>
      <c r="B102" s="54">
        <v>1</v>
      </c>
      <c r="C102" s="60">
        <v>46188</v>
      </c>
      <c r="D102" s="44" t="s">
        <v>43</v>
      </c>
      <c r="E102" s="45">
        <v>46174</v>
      </c>
      <c r="F102" s="56">
        <v>46188</v>
      </c>
      <c r="G102" s="46">
        <v>3.75</v>
      </c>
      <c r="H102" s="46">
        <v>5</v>
      </c>
      <c r="I102" s="46">
        <v>0</v>
      </c>
      <c r="J102" s="47">
        <f t="shared" si="12"/>
        <v>8.75</v>
      </c>
      <c r="K102" s="47">
        <f>SUMIFS($J$3:J102,$F$3:F102,F102)-J102</f>
        <v>0</v>
      </c>
      <c r="L102" s="47">
        <f t="shared" si="13"/>
        <v>8.75</v>
      </c>
      <c r="M102" s="47">
        <f t="shared" si="14"/>
        <v>0</v>
      </c>
      <c r="N102" s="48">
        <f>L102*'Employee 01 Reconciliation'!$B$9</f>
        <v>218.75</v>
      </c>
      <c r="O102" s="48">
        <f>M102*'Employee 01 Reconciliation'!$B$9*1.5</f>
        <v>0</v>
      </c>
      <c r="P102" s="48">
        <f t="shared" si="15"/>
        <v>218.75</v>
      </c>
    </row>
    <row r="103" spans="1:16" s="38" customFormat="1">
      <c r="A103" s="39" t="s">
        <v>48</v>
      </c>
      <c r="B103" s="54">
        <v>1</v>
      </c>
      <c r="C103" s="60">
        <v>46189</v>
      </c>
      <c r="D103" s="44" t="s">
        <v>44</v>
      </c>
      <c r="E103" s="45">
        <v>46174</v>
      </c>
      <c r="F103" s="56">
        <v>46188</v>
      </c>
      <c r="G103" s="46">
        <v>3.75</v>
      </c>
      <c r="H103" s="46">
        <v>5</v>
      </c>
      <c r="I103" s="46">
        <v>0</v>
      </c>
      <c r="J103" s="47">
        <f t="shared" si="12"/>
        <v>8.75</v>
      </c>
      <c r="K103" s="47">
        <f>SUMIFS($J$3:J103,$F$3:F103,F103)-J103</f>
        <v>8.75</v>
      </c>
      <c r="L103" s="47">
        <f t="shared" si="13"/>
        <v>8.75</v>
      </c>
      <c r="M103" s="47">
        <f t="shared" si="14"/>
        <v>0</v>
      </c>
      <c r="N103" s="48">
        <f>L103*'Employee 01 Reconciliation'!$B$9</f>
        <v>218.75</v>
      </c>
      <c r="O103" s="48">
        <f>M103*'Employee 01 Reconciliation'!$B$9*1.5</f>
        <v>0</v>
      </c>
      <c r="P103" s="48">
        <f t="shared" si="15"/>
        <v>218.75</v>
      </c>
    </row>
    <row r="104" spans="1:16" s="38" customFormat="1">
      <c r="A104" s="39" t="s">
        <v>48</v>
      </c>
      <c r="B104" s="54">
        <v>1</v>
      </c>
      <c r="C104" s="60">
        <v>46190</v>
      </c>
      <c r="D104" s="44" t="s">
        <v>45</v>
      </c>
      <c r="E104" s="45">
        <v>46174</v>
      </c>
      <c r="F104" s="56">
        <v>46188</v>
      </c>
      <c r="G104" s="46">
        <v>3.5</v>
      </c>
      <c r="H104" s="46">
        <v>5</v>
      </c>
      <c r="I104" s="46">
        <v>0</v>
      </c>
      <c r="J104" s="47">
        <f t="shared" si="12"/>
        <v>8.5</v>
      </c>
      <c r="K104" s="47">
        <f>SUMIFS($J$3:J104,$F$3:F104,F104)-J104</f>
        <v>17.5</v>
      </c>
      <c r="L104" s="47">
        <f t="shared" si="13"/>
        <v>8.5</v>
      </c>
      <c r="M104" s="47">
        <f t="shared" si="14"/>
        <v>0</v>
      </c>
      <c r="N104" s="48">
        <f>L104*'Employee 01 Reconciliation'!$B$9</f>
        <v>212.5</v>
      </c>
      <c r="O104" s="48">
        <f>M104*'Employee 01 Reconciliation'!$B$9*1.5</f>
        <v>0</v>
      </c>
      <c r="P104" s="48">
        <f t="shared" si="15"/>
        <v>212.5</v>
      </c>
    </row>
    <row r="105" spans="1:16" s="38" customFormat="1">
      <c r="A105" s="39" t="s">
        <v>48</v>
      </c>
      <c r="B105" s="54">
        <v>1</v>
      </c>
      <c r="C105" s="60">
        <v>46191</v>
      </c>
      <c r="D105" s="44" t="s">
        <v>41</v>
      </c>
      <c r="E105" s="45">
        <v>46174</v>
      </c>
      <c r="F105" s="56">
        <v>46188</v>
      </c>
      <c r="G105" s="46">
        <v>3.5</v>
      </c>
      <c r="H105" s="46">
        <v>5</v>
      </c>
      <c r="I105" s="46">
        <v>0</v>
      </c>
      <c r="J105" s="47">
        <f t="shared" si="12"/>
        <v>8.5</v>
      </c>
      <c r="K105" s="47">
        <f>SUMIFS($J$3:J105,$F$3:F105,F105)-J105</f>
        <v>26</v>
      </c>
      <c r="L105" s="47">
        <f t="shared" si="13"/>
        <v>8.5</v>
      </c>
      <c r="M105" s="47">
        <f t="shared" si="14"/>
        <v>0</v>
      </c>
      <c r="N105" s="48">
        <f>L105*'Employee 01 Reconciliation'!$B$9</f>
        <v>212.5</v>
      </c>
      <c r="O105" s="48">
        <f>M105*'Employee 01 Reconciliation'!$B$9*1.5</f>
        <v>0</v>
      </c>
      <c r="P105" s="48">
        <f t="shared" si="15"/>
        <v>212.5</v>
      </c>
    </row>
    <row r="106" spans="1:16" s="38" customFormat="1" ht="15">
      <c r="A106" s="39" t="s">
        <v>48</v>
      </c>
      <c r="B106" s="54">
        <v>1</v>
      </c>
      <c r="C106" s="60">
        <v>46192</v>
      </c>
      <c r="D106" s="44" t="s">
        <v>42</v>
      </c>
      <c r="E106" s="45">
        <v>46174</v>
      </c>
      <c r="F106" s="56">
        <v>46188</v>
      </c>
      <c r="G106" s="46">
        <v>3.5</v>
      </c>
      <c r="H106" s="46">
        <v>5</v>
      </c>
      <c r="I106" s="46">
        <v>0</v>
      </c>
      <c r="J106" s="47">
        <f t="shared" si="12"/>
        <v>8.5</v>
      </c>
      <c r="K106" s="47">
        <f>SUMIFS($J$3:J106,$F$3:F106,F106)-J106</f>
        <v>34.5</v>
      </c>
      <c r="L106" s="47">
        <f t="shared" si="13"/>
        <v>5.5</v>
      </c>
      <c r="M106" s="47">
        <f t="shared" si="14"/>
        <v>3</v>
      </c>
      <c r="N106" s="48">
        <f>L106*'Employee 01 Reconciliation'!$B$9</f>
        <v>137.5</v>
      </c>
      <c r="O106" s="48">
        <f>M106*'Employee 01 Reconciliation'!$B$9*1.5</f>
        <v>112.5</v>
      </c>
      <c r="P106" s="48">
        <f t="shared" si="15"/>
        <v>250</v>
      </c>
    </row>
    <row r="107" spans="1:16" s="38" customFormat="1">
      <c r="A107" s="39" t="s">
        <v>48</v>
      </c>
      <c r="B107" s="54">
        <v>1</v>
      </c>
      <c r="C107" s="60">
        <v>46195</v>
      </c>
      <c r="D107" s="44" t="s">
        <v>43</v>
      </c>
      <c r="E107" s="45">
        <v>46174</v>
      </c>
      <c r="F107" s="56">
        <v>46195</v>
      </c>
      <c r="G107" s="46">
        <v>3.5</v>
      </c>
      <c r="H107" s="46">
        <v>5</v>
      </c>
      <c r="I107" s="46">
        <v>0</v>
      </c>
      <c r="J107" s="47">
        <f t="shared" si="12"/>
        <v>8.5</v>
      </c>
      <c r="K107" s="47">
        <f>SUMIFS($J$3:J107,$F$3:F107,F107)-J107</f>
        <v>0</v>
      </c>
      <c r="L107" s="47">
        <f t="shared" si="13"/>
        <v>8.5</v>
      </c>
      <c r="M107" s="47">
        <f t="shared" si="14"/>
        <v>0</v>
      </c>
      <c r="N107" s="48">
        <f>L107*'Employee 01 Reconciliation'!$B$9</f>
        <v>212.5</v>
      </c>
      <c r="O107" s="48">
        <f>M107*'Employee 01 Reconciliation'!$B$9*1.5</f>
        <v>0</v>
      </c>
      <c r="P107" s="48">
        <f t="shared" si="15"/>
        <v>212.5</v>
      </c>
    </row>
    <row r="108" spans="1:16" s="38" customFormat="1">
      <c r="A108" s="39" t="s">
        <v>48</v>
      </c>
      <c r="B108" s="54">
        <v>1</v>
      </c>
      <c r="C108" s="60">
        <v>46196</v>
      </c>
      <c r="D108" s="44" t="s">
        <v>44</v>
      </c>
      <c r="E108" s="45">
        <v>46174</v>
      </c>
      <c r="F108" s="56">
        <v>46195</v>
      </c>
      <c r="G108" s="46">
        <v>3.5</v>
      </c>
      <c r="H108" s="46">
        <v>5</v>
      </c>
      <c r="I108" s="46">
        <v>0</v>
      </c>
      <c r="J108" s="47">
        <f t="shared" si="12"/>
        <v>8.5</v>
      </c>
      <c r="K108" s="47">
        <f>SUMIFS($J$3:J108,$F$3:F108,F108)-J108</f>
        <v>8.5</v>
      </c>
      <c r="L108" s="47">
        <f t="shared" si="13"/>
        <v>8.5</v>
      </c>
      <c r="M108" s="47">
        <f t="shared" si="14"/>
        <v>0</v>
      </c>
      <c r="N108" s="48">
        <f>L108*'Employee 01 Reconciliation'!$B$9</f>
        <v>212.5</v>
      </c>
      <c r="O108" s="48">
        <f>M108*'Employee 01 Reconciliation'!$B$9*1.5</f>
        <v>0</v>
      </c>
      <c r="P108" s="48">
        <f t="shared" si="15"/>
        <v>212.5</v>
      </c>
    </row>
    <row r="109" spans="1:16" s="38" customFormat="1">
      <c r="A109" s="39" t="s">
        <v>48</v>
      </c>
      <c r="B109" s="54">
        <v>1</v>
      </c>
      <c r="C109" s="60">
        <v>46197</v>
      </c>
      <c r="D109" s="44" t="s">
        <v>45</v>
      </c>
      <c r="E109" s="45">
        <v>46174</v>
      </c>
      <c r="F109" s="56">
        <v>46195</v>
      </c>
      <c r="G109" s="46">
        <v>3.5</v>
      </c>
      <c r="H109" s="46">
        <v>5</v>
      </c>
      <c r="I109" s="46">
        <v>0</v>
      </c>
      <c r="J109" s="47">
        <f t="shared" si="12"/>
        <v>8.5</v>
      </c>
      <c r="K109" s="47">
        <f>SUMIFS($J$3:J109,$F$3:F109,F109)-J109</f>
        <v>17</v>
      </c>
      <c r="L109" s="47">
        <f t="shared" si="13"/>
        <v>8.5</v>
      </c>
      <c r="M109" s="47">
        <f t="shared" si="14"/>
        <v>0</v>
      </c>
      <c r="N109" s="48">
        <f>L109*'Employee 01 Reconciliation'!$B$9</f>
        <v>212.5</v>
      </c>
      <c r="O109" s="48">
        <f>M109*'Employee 01 Reconciliation'!$B$9*1.5</f>
        <v>0</v>
      </c>
      <c r="P109" s="48">
        <f t="shared" si="15"/>
        <v>212.5</v>
      </c>
    </row>
    <row r="110" spans="1:16" s="38" customFormat="1">
      <c r="A110" s="39" t="s">
        <v>48</v>
      </c>
      <c r="B110" s="54">
        <v>1</v>
      </c>
      <c r="C110" s="60">
        <v>46198</v>
      </c>
      <c r="D110" s="44" t="s">
        <v>41</v>
      </c>
      <c r="E110" s="45">
        <v>46174</v>
      </c>
      <c r="F110" s="56">
        <v>46195</v>
      </c>
      <c r="G110" s="46">
        <v>3.5</v>
      </c>
      <c r="H110" s="46">
        <v>5</v>
      </c>
      <c r="I110" s="46">
        <v>0</v>
      </c>
      <c r="J110" s="47">
        <f t="shared" si="12"/>
        <v>8.5</v>
      </c>
      <c r="K110" s="47">
        <f>SUMIFS($J$3:J110,$F$3:F110,F110)-J110</f>
        <v>25.5</v>
      </c>
      <c r="L110" s="47">
        <f t="shared" si="13"/>
        <v>8.5</v>
      </c>
      <c r="M110" s="47">
        <f t="shared" si="14"/>
        <v>0</v>
      </c>
      <c r="N110" s="48">
        <f>L110*'Employee 01 Reconciliation'!$B$9</f>
        <v>212.5</v>
      </c>
      <c r="O110" s="48">
        <f>M110*'Employee 01 Reconciliation'!$B$9*1.5</f>
        <v>0</v>
      </c>
      <c r="P110" s="48">
        <f t="shared" si="15"/>
        <v>212.5</v>
      </c>
    </row>
    <row r="111" spans="1:16" s="38" customFormat="1" ht="15">
      <c r="A111" s="39" t="s">
        <v>48</v>
      </c>
      <c r="B111" s="54">
        <v>1</v>
      </c>
      <c r="C111" s="60">
        <v>46199</v>
      </c>
      <c r="D111" s="44" t="s">
        <v>42</v>
      </c>
      <c r="E111" s="45">
        <v>46174</v>
      </c>
      <c r="F111" s="56">
        <v>46195</v>
      </c>
      <c r="G111" s="46">
        <v>3.5</v>
      </c>
      <c r="H111" s="46">
        <v>5</v>
      </c>
      <c r="I111" s="46">
        <v>0</v>
      </c>
      <c r="J111" s="47">
        <f t="shared" si="12"/>
        <v>8.5</v>
      </c>
      <c r="K111" s="47">
        <f>SUMIFS($J$3:J111,$F$3:F111,F111)-J111</f>
        <v>34</v>
      </c>
      <c r="L111" s="47">
        <f t="shared" si="13"/>
        <v>6</v>
      </c>
      <c r="M111" s="47">
        <f t="shared" si="14"/>
        <v>2.5</v>
      </c>
      <c r="N111" s="48">
        <f>L111*'Employee 01 Reconciliation'!$B$9</f>
        <v>150</v>
      </c>
      <c r="O111" s="48">
        <f>M111*'Employee 01 Reconciliation'!$B$9*1.5</f>
        <v>93.75</v>
      </c>
      <c r="P111" s="48">
        <f t="shared" si="15"/>
        <v>243.75</v>
      </c>
    </row>
    <row r="112" spans="1:16" s="38" customFormat="1">
      <c r="A112" s="39" t="s">
        <v>48</v>
      </c>
      <c r="B112" s="54">
        <v>1</v>
      </c>
      <c r="C112" s="60">
        <v>46202</v>
      </c>
      <c r="D112" s="44" t="s">
        <v>43</v>
      </c>
      <c r="E112" s="45">
        <v>46174</v>
      </c>
      <c r="F112" s="56">
        <v>46202</v>
      </c>
      <c r="G112" s="46">
        <v>3.5</v>
      </c>
      <c r="H112" s="46">
        <v>5</v>
      </c>
      <c r="I112" s="46">
        <v>0</v>
      </c>
      <c r="J112" s="47">
        <f t="shared" si="12"/>
        <v>8.5</v>
      </c>
      <c r="K112" s="47">
        <f>SUMIFS($J$3:J112,$F$3:F112,F112)-J112</f>
        <v>0</v>
      </c>
      <c r="L112" s="47">
        <f t="shared" si="13"/>
        <v>8.5</v>
      </c>
      <c r="M112" s="47">
        <f t="shared" si="14"/>
        <v>0</v>
      </c>
      <c r="N112" s="48">
        <f>L112*'Employee 01 Reconciliation'!$B$9</f>
        <v>212.5</v>
      </c>
      <c r="O112" s="48">
        <f>M112*'Employee 01 Reconciliation'!$B$9*1.5</f>
        <v>0</v>
      </c>
      <c r="P112" s="48">
        <f t="shared" si="15"/>
        <v>212.5</v>
      </c>
    </row>
    <row r="113" spans="1:16" s="38" customFormat="1">
      <c r="A113" s="39" t="s">
        <v>48</v>
      </c>
      <c r="B113" s="54">
        <v>1</v>
      </c>
      <c r="C113" s="60">
        <v>46203</v>
      </c>
      <c r="D113" s="44" t="s">
        <v>44</v>
      </c>
      <c r="E113" s="45">
        <v>46174</v>
      </c>
      <c r="F113" s="56">
        <v>46202</v>
      </c>
      <c r="G113" s="46">
        <v>3.5</v>
      </c>
      <c r="H113" s="46">
        <v>5</v>
      </c>
      <c r="I113" s="46">
        <v>0</v>
      </c>
      <c r="J113" s="47">
        <f t="shared" si="12"/>
        <v>8.5</v>
      </c>
      <c r="K113" s="47">
        <f>SUMIFS($J$3:J113,$F$3:F113,F113)-J113</f>
        <v>8.5</v>
      </c>
      <c r="L113" s="47">
        <f t="shared" si="13"/>
        <v>8.5</v>
      </c>
      <c r="M113" s="47">
        <f t="shared" si="14"/>
        <v>0</v>
      </c>
      <c r="N113" s="48">
        <f>L113*'Employee 01 Reconciliation'!$B$9</f>
        <v>212.5</v>
      </c>
      <c r="O113" s="48">
        <f>M113*'Employee 01 Reconciliation'!$B$9*1.5</f>
        <v>0</v>
      </c>
      <c r="P113" s="48">
        <f t="shared" si="15"/>
        <v>212.5</v>
      </c>
    </row>
    <row r="114" spans="1:16" s="38" customFormat="1">
      <c r="A114" s="39" t="s">
        <v>48</v>
      </c>
      <c r="B114" s="54">
        <v>1</v>
      </c>
      <c r="C114" s="60">
        <v>46204</v>
      </c>
      <c r="D114" s="44" t="s">
        <v>45</v>
      </c>
      <c r="E114" s="45">
        <v>46204</v>
      </c>
      <c r="F114" s="56">
        <v>46202</v>
      </c>
      <c r="G114" s="46">
        <v>2</v>
      </c>
      <c r="H114" s="46">
        <v>5</v>
      </c>
      <c r="I114" s="46">
        <v>0</v>
      </c>
      <c r="J114" s="47">
        <f t="shared" si="12"/>
        <v>7</v>
      </c>
      <c r="K114" s="47">
        <f>SUMIFS($J$3:J114,$F$3:F114,F114)-J114</f>
        <v>17</v>
      </c>
      <c r="L114" s="47">
        <f t="shared" si="13"/>
        <v>7</v>
      </c>
      <c r="M114" s="47">
        <f t="shared" si="14"/>
        <v>0</v>
      </c>
      <c r="N114" s="48">
        <f>L114*'Employee 01 Reconciliation'!$B$9</f>
        <v>175</v>
      </c>
      <c r="O114" s="48">
        <f>M114*'Employee 01 Reconciliation'!$B$9*1.5</f>
        <v>0</v>
      </c>
      <c r="P114" s="48">
        <f t="shared" si="15"/>
        <v>175</v>
      </c>
    </row>
    <row r="115" spans="1:16" s="38" customFormat="1">
      <c r="A115" s="39" t="s">
        <v>48</v>
      </c>
      <c r="B115" s="54">
        <v>1</v>
      </c>
      <c r="C115" s="60">
        <v>46205</v>
      </c>
      <c r="D115" s="44" t="s">
        <v>41</v>
      </c>
      <c r="E115" s="45">
        <v>46204</v>
      </c>
      <c r="F115" s="56">
        <v>46202</v>
      </c>
      <c r="G115" s="46">
        <v>2</v>
      </c>
      <c r="H115" s="46">
        <v>5</v>
      </c>
      <c r="I115" s="46">
        <v>0</v>
      </c>
      <c r="J115" s="47">
        <f t="shared" si="12"/>
        <v>7</v>
      </c>
      <c r="K115" s="47">
        <f>SUMIFS($J$3:J115,$F$3:F115,F115)-J115</f>
        <v>24</v>
      </c>
      <c r="L115" s="47">
        <f t="shared" si="13"/>
        <v>7</v>
      </c>
      <c r="M115" s="47">
        <f t="shared" si="14"/>
        <v>0</v>
      </c>
      <c r="N115" s="48">
        <f>L115*'Employee 01 Reconciliation'!$B$9</f>
        <v>175</v>
      </c>
      <c r="O115" s="48">
        <f>M115*'Employee 01 Reconciliation'!$B$9*1.5</f>
        <v>0</v>
      </c>
      <c r="P115" s="48">
        <f t="shared" si="15"/>
        <v>175</v>
      </c>
    </row>
    <row r="116" spans="1:16" s="38" customFormat="1">
      <c r="A116" s="39" t="s">
        <v>48</v>
      </c>
      <c r="B116" s="54">
        <v>1</v>
      </c>
      <c r="C116" s="60">
        <v>46206</v>
      </c>
      <c r="D116" s="44" t="s">
        <v>42</v>
      </c>
      <c r="E116" s="45">
        <v>46204</v>
      </c>
      <c r="F116" s="56">
        <v>46202</v>
      </c>
      <c r="G116" s="46">
        <v>2</v>
      </c>
      <c r="H116" s="46">
        <v>5</v>
      </c>
      <c r="I116" s="46">
        <v>0</v>
      </c>
      <c r="J116" s="47">
        <f t="shared" si="12"/>
        <v>7</v>
      </c>
      <c r="K116" s="47">
        <f>SUMIFS($J$3:J116,$F$3:F116,F116)-J116</f>
        <v>31</v>
      </c>
      <c r="L116" s="47">
        <f t="shared" si="13"/>
        <v>7</v>
      </c>
      <c r="M116" s="47">
        <f t="shared" si="14"/>
        <v>0</v>
      </c>
      <c r="N116" s="48">
        <f>L116*'Employee 01 Reconciliation'!$B$9</f>
        <v>175</v>
      </c>
      <c r="O116" s="48">
        <f>M116*'Employee 01 Reconciliation'!$B$9*1.5</f>
        <v>0</v>
      </c>
      <c r="P116" s="48">
        <f t="shared" si="15"/>
        <v>175</v>
      </c>
    </row>
    <row r="117" spans="1:16" s="38" customFormat="1">
      <c r="A117" s="39" t="s">
        <v>48</v>
      </c>
      <c r="B117" s="54">
        <v>1</v>
      </c>
      <c r="C117" s="60">
        <v>46209</v>
      </c>
      <c r="D117" s="44" t="s">
        <v>43</v>
      </c>
      <c r="E117" s="45">
        <v>46204</v>
      </c>
      <c r="F117" s="56">
        <v>46209</v>
      </c>
      <c r="G117" s="46">
        <v>2</v>
      </c>
      <c r="H117" s="46">
        <v>5</v>
      </c>
      <c r="I117" s="46">
        <v>0</v>
      </c>
      <c r="J117" s="47">
        <f t="shared" si="12"/>
        <v>7</v>
      </c>
      <c r="K117" s="47">
        <f>SUMIFS($J$3:J117,$F$3:F117,F117)-J117</f>
        <v>0</v>
      </c>
      <c r="L117" s="47">
        <f t="shared" si="13"/>
        <v>7</v>
      </c>
      <c r="M117" s="47">
        <f t="shared" si="14"/>
        <v>0</v>
      </c>
      <c r="N117" s="48">
        <f>L117*'Employee 01 Reconciliation'!$B$9</f>
        <v>175</v>
      </c>
      <c r="O117" s="48">
        <f>M117*'Employee 01 Reconciliation'!$B$9*1.5</f>
        <v>0</v>
      </c>
      <c r="P117" s="48">
        <f t="shared" si="15"/>
        <v>175</v>
      </c>
    </row>
    <row r="118" spans="1:16" s="38" customFormat="1">
      <c r="A118" s="39" t="s">
        <v>48</v>
      </c>
      <c r="B118" s="54">
        <v>1</v>
      </c>
      <c r="C118" s="60">
        <v>46210</v>
      </c>
      <c r="D118" s="44" t="s">
        <v>44</v>
      </c>
      <c r="E118" s="45">
        <v>46204</v>
      </c>
      <c r="F118" s="56">
        <v>46209</v>
      </c>
      <c r="G118" s="46">
        <v>2</v>
      </c>
      <c r="H118" s="46">
        <v>5</v>
      </c>
      <c r="I118" s="46">
        <v>0</v>
      </c>
      <c r="J118" s="47">
        <f t="shared" si="12"/>
        <v>7</v>
      </c>
      <c r="K118" s="47">
        <f>SUMIFS($J$3:J118,$F$3:F118,F118)-J118</f>
        <v>7</v>
      </c>
      <c r="L118" s="47">
        <f t="shared" si="13"/>
        <v>7</v>
      </c>
      <c r="M118" s="47">
        <f t="shared" si="14"/>
        <v>0</v>
      </c>
      <c r="N118" s="48">
        <f>L118*'Employee 01 Reconciliation'!$B$9</f>
        <v>175</v>
      </c>
      <c r="O118" s="48">
        <f>M118*'Employee 01 Reconciliation'!$B$9*1.5</f>
        <v>0</v>
      </c>
      <c r="P118" s="48">
        <f t="shared" si="15"/>
        <v>175</v>
      </c>
    </row>
    <row r="119" spans="1:16" s="38" customFormat="1">
      <c r="A119" s="39" t="s">
        <v>48</v>
      </c>
      <c r="B119" s="54">
        <v>1</v>
      </c>
      <c r="C119" s="60">
        <v>46211</v>
      </c>
      <c r="D119" s="44" t="s">
        <v>45</v>
      </c>
      <c r="E119" s="45">
        <v>46204</v>
      </c>
      <c r="F119" s="56">
        <v>46209</v>
      </c>
      <c r="G119" s="46">
        <v>2</v>
      </c>
      <c r="H119" s="46">
        <v>5</v>
      </c>
      <c r="I119" s="46">
        <v>0</v>
      </c>
      <c r="J119" s="47">
        <f t="shared" si="12"/>
        <v>7</v>
      </c>
      <c r="K119" s="47">
        <f>SUMIFS($J$3:J119,$F$3:F119,F119)-J119</f>
        <v>14</v>
      </c>
      <c r="L119" s="47">
        <f t="shared" si="13"/>
        <v>7</v>
      </c>
      <c r="M119" s="47">
        <f t="shared" si="14"/>
        <v>0</v>
      </c>
      <c r="N119" s="48">
        <f>L119*'Employee 01 Reconciliation'!$B$9</f>
        <v>175</v>
      </c>
      <c r="O119" s="48">
        <f>M119*'Employee 01 Reconciliation'!$B$9*1.5</f>
        <v>0</v>
      </c>
      <c r="P119" s="48">
        <f t="shared" si="15"/>
        <v>175</v>
      </c>
    </row>
    <row r="120" spans="1:16" s="38" customFormat="1">
      <c r="A120" s="39" t="s">
        <v>48</v>
      </c>
      <c r="B120" s="54">
        <v>1</v>
      </c>
      <c r="C120" s="60">
        <v>46212</v>
      </c>
      <c r="D120" s="44" t="s">
        <v>41</v>
      </c>
      <c r="E120" s="45">
        <v>46204</v>
      </c>
      <c r="F120" s="56">
        <v>46209</v>
      </c>
      <c r="G120" s="46">
        <v>2</v>
      </c>
      <c r="H120" s="46">
        <v>5</v>
      </c>
      <c r="I120" s="46">
        <v>0</v>
      </c>
      <c r="J120" s="47">
        <f t="shared" si="12"/>
        <v>7</v>
      </c>
      <c r="K120" s="47">
        <f>SUMIFS($J$3:J120,$F$3:F120,F120)-J120</f>
        <v>21</v>
      </c>
      <c r="L120" s="47">
        <f t="shared" si="13"/>
        <v>7</v>
      </c>
      <c r="M120" s="47">
        <f t="shared" si="14"/>
        <v>0</v>
      </c>
      <c r="N120" s="48">
        <f>L120*'Employee 01 Reconciliation'!$B$9</f>
        <v>175</v>
      </c>
      <c r="O120" s="48">
        <f>M120*'Employee 01 Reconciliation'!$B$9*1.5</f>
        <v>0</v>
      </c>
      <c r="P120" s="48">
        <f t="shared" si="15"/>
        <v>175</v>
      </c>
    </row>
    <row r="121" spans="1:16" s="38" customFormat="1">
      <c r="A121" s="39" t="s">
        <v>48</v>
      </c>
      <c r="B121" s="54">
        <v>1</v>
      </c>
      <c r="C121" s="60">
        <v>46213</v>
      </c>
      <c r="D121" s="44" t="s">
        <v>42</v>
      </c>
      <c r="E121" s="45">
        <v>46204</v>
      </c>
      <c r="F121" s="56">
        <v>46209</v>
      </c>
      <c r="G121" s="46">
        <v>2</v>
      </c>
      <c r="H121" s="46">
        <v>5</v>
      </c>
      <c r="I121" s="46">
        <v>0</v>
      </c>
      <c r="J121" s="47">
        <f t="shared" si="12"/>
        <v>7</v>
      </c>
      <c r="K121" s="47">
        <f>SUMIFS($J$3:J121,$F$3:F121,F121)-J121</f>
        <v>28</v>
      </c>
      <c r="L121" s="47">
        <f t="shared" si="13"/>
        <v>7</v>
      </c>
      <c r="M121" s="47">
        <f t="shared" si="14"/>
        <v>0</v>
      </c>
      <c r="N121" s="48">
        <f>L121*'Employee 01 Reconciliation'!$B$9</f>
        <v>175</v>
      </c>
      <c r="O121" s="48">
        <f>M121*'Employee 01 Reconciliation'!$B$9*1.5</f>
        <v>0</v>
      </c>
      <c r="P121" s="48">
        <f t="shared" si="15"/>
        <v>175</v>
      </c>
    </row>
    <row r="122" spans="1:16" s="38" customFormat="1">
      <c r="A122" s="39" t="s">
        <v>48</v>
      </c>
      <c r="B122" s="54">
        <v>1</v>
      </c>
      <c r="C122" s="60">
        <v>46216</v>
      </c>
      <c r="D122" s="44" t="s">
        <v>43</v>
      </c>
      <c r="E122" s="45">
        <v>46204</v>
      </c>
      <c r="F122" s="56">
        <v>46216</v>
      </c>
      <c r="G122" s="46">
        <v>2</v>
      </c>
      <c r="H122" s="46">
        <v>5</v>
      </c>
      <c r="I122" s="46">
        <v>0</v>
      </c>
      <c r="J122" s="47">
        <f t="shared" si="12"/>
        <v>7</v>
      </c>
      <c r="K122" s="47">
        <f>SUMIFS($J$3:J122,$F$3:F122,F122)-J122</f>
        <v>0</v>
      </c>
      <c r="L122" s="47">
        <f t="shared" si="13"/>
        <v>7</v>
      </c>
      <c r="M122" s="47">
        <f t="shared" si="14"/>
        <v>0</v>
      </c>
      <c r="N122" s="48">
        <f>L122*'Employee 01 Reconciliation'!$B$9</f>
        <v>175</v>
      </c>
      <c r="O122" s="48">
        <f>M122*'Employee 01 Reconciliation'!$B$9*1.5</f>
        <v>0</v>
      </c>
      <c r="P122" s="48">
        <f t="shared" si="15"/>
        <v>175</v>
      </c>
    </row>
    <row r="123" spans="1:16" s="38" customFormat="1">
      <c r="A123" s="39" t="s">
        <v>48</v>
      </c>
      <c r="B123" s="54">
        <v>1</v>
      </c>
      <c r="C123" s="60">
        <v>46217</v>
      </c>
      <c r="D123" s="44" t="s">
        <v>44</v>
      </c>
      <c r="E123" s="45">
        <v>46204</v>
      </c>
      <c r="F123" s="56">
        <v>46216</v>
      </c>
      <c r="G123" s="46">
        <v>2</v>
      </c>
      <c r="H123" s="46">
        <v>5</v>
      </c>
      <c r="I123" s="46">
        <v>0</v>
      </c>
      <c r="J123" s="47">
        <f t="shared" si="12"/>
        <v>7</v>
      </c>
      <c r="K123" s="47">
        <f>SUMIFS($J$3:J123,$F$3:F123,F123)-J123</f>
        <v>7</v>
      </c>
      <c r="L123" s="47">
        <f t="shared" si="13"/>
        <v>7</v>
      </c>
      <c r="M123" s="47">
        <f t="shared" si="14"/>
        <v>0</v>
      </c>
      <c r="N123" s="48">
        <f>L123*'Employee 01 Reconciliation'!$B$9</f>
        <v>175</v>
      </c>
      <c r="O123" s="48">
        <f>M123*'Employee 01 Reconciliation'!$B$9*1.5</f>
        <v>0</v>
      </c>
      <c r="P123" s="48">
        <f t="shared" si="15"/>
        <v>175</v>
      </c>
    </row>
    <row r="124" spans="1:16" s="38" customFormat="1">
      <c r="A124" s="39" t="s">
        <v>48</v>
      </c>
      <c r="B124" s="54">
        <v>1</v>
      </c>
      <c r="C124" s="60">
        <v>46218</v>
      </c>
      <c r="D124" s="44" t="s">
        <v>45</v>
      </c>
      <c r="E124" s="45">
        <v>46204</v>
      </c>
      <c r="F124" s="56">
        <v>46216</v>
      </c>
      <c r="G124" s="46">
        <v>2</v>
      </c>
      <c r="H124" s="46">
        <v>5</v>
      </c>
      <c r="I124" s="46">
        <v>0</v>
      </c>
      <c r="J124" s="47">
        <f t="shared" si="12"/>
        <v>7</v>
      </c>
      <c r="K124" s="47">
        <f>SUMIFS($J$3:J124,$F$3:F124,F124)-J124</f>
        <v>14</v>
      </c>
      <c r="L124" s="47">
        <f t="shared" si="13"/>
        <v>7</v>
      </c>
      <c r="M124" s="47">
        <f t="shared" si="14"/>
        <v>0</v>
      </c>
      <c r="N124" s="48">
        <f>L124*'Employee 01 Reconciliation'!$B$9</f>
        <v>175</v>
      </c>
      <c r="O124" s="48">
        <f>M124*'Employee 01 Reconciliation'!$B$9*1.5</f>
        <v>0</v>
      </c>
      <c r="P124" s="48">
        <f t="shared" si="15"/>
        <v>175</v>
      </c>
    </row>
    <row r="125" spans="1:16" s="38" customFormat="1">
      <c r="A125" s="39" t="s">
        <v>48</v>
      </c>
      <c r="B125" s="54">
        <v>1</v>
      </c>
      <c r="C125" s="60">
        <v>46219</v>
      </c>
      <c r="D125" s="44" t="s">
        <v>41</v>
      </c>
      <c r="E125" s="45">
        <v>46204</v>
      </c>
      <c r="F125" s="56">
        <v>46216</v>
      </c>
      <c r="G125" s="46">
        <v>2</v>
      </c>
      <c r="H125" s="46">
        <v>5</v>
      </c>
      <c r="I125" s="46">
        <v>0</v>
      </c>
      <c r="J125" s="47">
        <f t="shared" si="12"/>
        <v>7</v>
      </c>
      <c r="K125" s="47">
        <f>SUMIFS($J$3:J125,$F$3:F125,F125)-J125</f>
        <v>21</v>
      </c>
      <c r="L125" s="47">
        <f t="shared" si="13"/>
        <v>7</v>
      </c>
      <c r="M125" s="47">
        <f t="shared" si="14"/>
        <v>0</v>
      </c>
      <c r="N125" s="48">
        <f>L125*'Employee 01 Reconciliation'!$B$9</f>
        <v>175</v>
      </c>
      <c r="O125" s="48">
        <f>M125*'Employee 01 Reconciliation'!$B$9*1.5</f>
        <v>0</v>
      </c>
      <c r="P125" s="48">
        <f t="shared" si="15"/>
        <v>175</v>
      </c>
    </row>
    <row r="126" spans="1:16" s="38" customFormat="1">
      <c r="A126" s="39" t="s">
        <v>48</v>
      </c>
      <c r="B126" s="54">
        <v>1</v>
      </c>
      <c r="C126" s="60">
        <v>46220</v>
      </c>
      <c r="D126" s="44" t="s">
        <v>42</v>
      </c>
      <c r="E126" s="45">
        <v>46204</v>
      </c>
      <c r="F126" s="56">
        <v>46216</v>
      </c>
      <c r="G126" s="46">
        <v>2</v>
      </c>
      <c r="H126" s="46">
        <v>5</v>
      </c>
      <c r="I126" s="46">
        <v>0</v>
      </c>
      <c r="J126" s="47">
        <f t="shared" si="12"/>
        <v>7</v>
      </c>
      <c r="K126" s="47">
        <f>SUMIFS($J$3:J126,$F$3:F126,F126)-J126</f>
        <v>28</v>
      </c>
      <c r="L126" s="47">
        <f t="shared" si="13"/>
        <v>7</v>
      </c>
      <c r="M126" s="47">
        <f t="shared" si="14"/>
        <v>0</v>
      </c>
      <c r="N126" s="48">
        <f>L126*'Employee 01 Reconciliation'!$B$9</f>
        <v>175</v>
      </c>
      <c r="O126" s="48">
        <f>M126*'Employee 01 Reconciliation'!$B$9*1.5</f>
        <v>0</v>
      </c>
      <c r="P126" s="48">
        <f t="shared" si="15"/>
        <v>175</v>
      </c>
    </row>
    <row r="127" spans="1:16" s="38" customFormat="1">
      <c r="A127" s="39" t="s">
        <v>48</v>
      </c>
      <c r="B127" s="54">
        <v>1</v>
      </c>
      <c r="C127" s="60">
        <v>46223</v>
      </c>
      <c r="D127" s="44" t="s">
        <v>43</v>
      </c>
      <c r="E127" s="45">
        <v>46204</v>
      </c>
      <c r="F127" s="56">
        <v>46223</v>
      </c>
      <c r="G127" s="46">
        <v>2</v>
      </c>
      <c r="H127" s="46">
        <v>5</v>
      </c>
      <c r="I127" s="46">
        <v>0</v>
      </c>
      <c r="J127" s="47">
        <f t="shared" si="12"/>
        <v>7</v>
      </c>
      <c r="K127" s="47">
        <f>SUMIFS($J$3:J127,$F$3:F127,F127)-J127</f>
        <v>0</v>
      </c>
      <c r="L127" s="47">
        <f t="shared" si="13"/>
        <v>7</v>
      </c>
      <c r="M127" s="47">
        <f t="shared" si="14"/>
        <v>0</v>
      </c>
      <c r="N127" s="48">
        <f>L127*'Employee 01 Reconciliation'!$B$9</f>
        <v>175</v>
      </c>
      <c r="O127" s="48">
        <f>M127*'Employee 01 Reconciliation'!$B$9*1.5</f>
        <v>0</v>
      </c>
      <c r="P127" s="48">
        <f t="shared" si="15"/>
        <v>175</v>
      </c>
    </row>
    <row r="128" spans="1:16" s="38" customFormat="1">
      <c r="A128" s="39" t="s">
        <v>48</v>
      </c>
      <c r="B128" s="54">
        <v>1</v>
      </c>
      <c r="C128" s="60">
        <v>46224</v>
      </c>
      <c r="D128" s="44" t="s">
        <v>44</v>
      </c>
      <c r="E128" s="45">
        <v>46204</v>
      </c>
      <c r="F128" s="56">
        <v>46223</v>
      </c>
      <c r="G128" s="46">
        <v>2</v>
      </c>
      <c r="H128" s="46">
        <v>5</v>
      </c>
      <c r="I128" s="46">
        <v>0</v>
      </c>
      <c r="J128" s="47">
        <f t="shared" si="12"/>
        <v>7</v>
      </c>
      <c r="K128" s="47">
        <f>SUMIFS($J$3:J128,$F$3:F128,F128)-J128</f>
        <v>7</v>
      </c>
      <c r="L128" s="47">
        <f t="shared" si="13"/>
        <v>7</v>
      </c>
      <c r="M128" s="47">
        <f t="shared" si="14"/>
        <v>0</v>
      </c>
      <c r="N128" s="48">
        <f>L128*'Employee 01 Reconciliation'!$B$9</f>
        <v>175</v>
      </c>
      <c r="O128" s="48">
        <f>M128*'Employee 01 Reconciliation'!$B$9*1.5</f>
        <v>0</v>
      </c>
      <c r="P128" s="48">
        <f t="shared" si="15"/>
        <v>175</v>
      </c>
    </row>
    <row r="129" spans="1:16" s="38" customFormat="1">
      <c r="A129" s="39" t="s">
        <v>48</v>
      </c>
      <c r="B129" s="54">
        <v>1</v>
      </c>
      <c r="C129" s="60">
        <v>46225</v>
      </c>
      <c r="D129" s="44" t="s">
        <v>45</v>
      </c>
      <c r="E129" s="45">
        <v>46204</v>
      </c>
      <c r="F129" s="56">
        <v>46223</v>
      </c>
      <c r="G129" s="46">
        <v>2</v>
      </c>
      <c r="H129" s="46">
        <v>5</v>
      </c>
      <c r="I129" s="46">
        <v>0</v>
      </c>
      <c r="J129" s="47">
        <f t="shared" si="12"/>
        <v>7</v>
      </c>
      <c r="K129" s="47">
        <f>SUMIFS($J$3:J129,$F$3:F129,F129)-J129</f>
        <v>14</v>
      </c>
      <c r="L129" s="47">
        <f t="shared" si="13"/>
        <v>7</v>
      </c>
      <c r="M129" s="47">
        <f t="shared" si="14"/>
        <v>0</v>
      </c>
      <c r="N129" s="48">
        <f>L129*'Employee 01 Reconciliation'!$B$9</f>
        <v>175</v>
      </c>
      <c r="O129" s="48">
        <f>M129*'Employee 01 Reconciliation'!$B$9*1.5</f>
        <v>0</v>
      </c>
      <c r="P129" s="48">
        <f t="shared" si="15"/>
        <v>175</v>
      </c>
    </row>
    <row r="130" spans="1:16" s="38" customFormat="1">
      <c r="A130" s="39" t="s">
        <v>48</v>
      </c>
      <c r="B130" s="54">
        <v>1</v>
      </c>
      <c r="C130" s="60">
        <v>46226</v>
      </c>
      <c r="D130" s="44" t="s">
        <v>41</v>
      </c>
      <c r="E130" s="45">
        <v>46204</v>
      </c>
      <c r="F130" s="56">
        <v>46223</v>
      </c>
      <c r="G130" s="46">
        <v>2</v>
      </c>
      <c r="H130" s="46">
        <v>5</v>
      </c>
      <c r="I130" s="46">
        <v>0</v>
      </c>
      <c r="J130" s="47">
        <f t="shared" si="12"/>
        <v>7</v>
      </c>
      <c r="K130" s="47">
        <f>SUMIFS($J$3:J130,$F$3:F130,F130)-J130</f>
        <v>21</v>
      </c>
      <c r="L130" s="47">
        <f t="shared" si="13"/>
        <v>7</v>
      </c>
      <c r="M130" s="47">
        <f t="shared" si="14"/>
        <v>0</v>
      </c>
      <c r="N130" s="48">
        <f>L130*'Employee 01 Reconciliation'!$B$9</f>
        <v>175</v>
      </c>
      <c r="O130" s="48">
        <f>M130*'Employee 01 Reconciliation'!$B$9*1.5</f>
        <v>0</v>
      </c>
      <c r="P130" s="48">
        <f t="shared" si="15"/>
        <v>175</v>
      </c>
    </row>
    <row r="131" spans="1:16" s="38" customFormat="1">
      <c r="A131" s="39" t="s">
        <v>48</v>
      </c>
      <c r="B131" s="54">
        <v>1</v>
      </c>
      <c r="C131" s="60">
        <v>46227</v>
      </c>
      <c r="D131" s="44" t="s">
        <v>42</v>
      </c>
      <c r="E131" s="45">
        <v>46204</v>
      </c>
      <c r="F131" s="56">
        <v>46223</v>
      </c>
      <c r="G131" s="46">
        <v>2</v>
      </c>
      <c r="H131" s="46">
        <v>5</v>
      </c>
      <c r="I131" s="46">
        <v>0</v>
      </c>
      <c r="J131" s="47">
        <f t="shared" ref="J131:J162" si="16">G131+H131-I131</f>
        <v>7</v>
      </c>
      <c r="K131" s="47">
        <f>SUMIFS($J$3:J131,$F$3:F131,F131)-J131</f>
        <v>28</v>
      </c>
      <c r="L131" s="47">
        <f t="shared" ref="L131:L162" si="17">MIN(J131,MAX(0,40-K131))</f>
        <v>7</v>
      </c>
      <c r="M131" s="47">
        <f t="shared" ref="M131:M162" si="18">J131-L131</f>
        <v>0</v>
      </c>
      <c r="N131" s="48">
        <f>L131*'Employee 01 Reconciliation'!$B$9</f>
        <v>175</v>
      </c>
      <c r="O131" s="48">
        <f>M131*'Employee 01 Reconciliation'!$B$9*1.5</f>
        <v>0</v>
      </c>
      <c r="P131" s="48">
        <f t="shared" ref="P131:P162" si="19">N131+O131</f>
        <v>175</v>
      </c>
    </row>
    <row r="132" spans="1:16" s="38" customFormat="1">
      <c r="A132" s="39" t="s">
        <v>48</v>
      </c>
      <c r="B132" s="54">
        <v>1</v>
      </c>
      <c r="C132" s="60">
        <v>46230</v>
      </c>
      <c r="D132" s="44" t="s">
        <v>43</v>
      </c>
      <c r="E132" s="45">
        <v>46204</v>
      </c>
      <c r="F132" s="56">
        <v>46230</v>
      </c>
      <c r="G132" s="46">
        <v>2</v>
      </c>
      <c r="H132" s="46">
        <v>5</v>
      </c>
      <c r="I132" s="46">
        <v>0</v>
      </c>
      <c r="J132" s="47">
        <f t="shared" si="16"/>
        <v>7</v>
      </c>
      <c r="K132" s="47">
        <f>SUMIFS($J$3:J132,$F$3:F132,F132)-J132</f>
        <v>0</v>
      </c>
      <c r="L132" s="47">
        <f t="shared" si="17"/>
        <v>7</v>
      </c>
      <c r="M132" s="47">
        <f t="shared" si="18"/>
        <v>0</v>
      </c>
      <c r="N132" s="48">
        <f>L132*'Employee 01 Reconciliation'!$B$9</f>
        <v>175</v>
      </c>
      <c r="O132" s="48">
        <f>M132*'Employee 01 Reconciliation'!$B$9*1.5</f>
        <v>0</v>
      </c>
      <c r="P132" s="48">
        <f t="shared" si="19"/>
        <v>175</v>
      </c>
    </row>
    <row r="133" spans="1:16" s="38" customFormat="1">
      <c r="A133" s="39" t="s">
        <v>48</v>
      </c>
      <c r="B133" s="54">
        <v>1</v>
      </c>
      <c r="C133" s="60">
        <v>46231</v>
      </c>
      <c r="D133" s="44" t="s">
        <v>44</v>
      </c>
      <c r="E133" s="45">
        <v>46204</v>
      </c>
      <c r="F133" s="56">
        <v>46230</v>
      </c>
      <c r="G133" s="46">
        <v>1.75</v>
      </c>
      <c r="H133" s="46">
        <v>5</v>
      </c>
      <c r="I133" s="46">
        <v>0</v>
      </c>
      <c r="J133" s="47">
        <f t="shared" si="16"/>
        <v>6.75</v>
      </c>
      <c r="K133" s="47">
        <f>SUMIFS($J$3:J133,$F$3:F133,F133)-J133</f>
        <v>7</v>
      </c>
      <c r="L133" s="47">
        <f t="shared" si="17"/>
        <v>6.75</v>
      </c>
      <c r="M133" s="47">
        <f t="shared" si="18"/>
        <v>0</v>
      </c>
      <c r="N133" s="48">
        <f>L133*'Employee 01 Reconciliation'!$B$9</f>
        <v>168.75</v>
      </c>
      <c r="O133" s="48">
        <f>M133*'Employee 01 Reconciliation'!$B$9*1.5</f>
        <v>0</v>
      </c>
      <c r="P133" s="48">
        <f t="shared" si="19"/>
        <v>168.75</v>
      </c>
    </row>
    <row r="134" spans="1:16" s="38" customFormat="1">
      <c r="A134" s="39" t="s">
        <v>48</v>
      </c>
      <c r="B134" s="54">
        <v>1</v>
      </c>
      <c r="C134" s="60">
        <v>46232</v>
      </c>
      <c r="D134" s="44" t="s">
        <v>45</v>
      </c>
      <c r="E134" s="45">
        <v>46204</v>
      </c>
      <c r="F134" s="56">
        <v>46230</v>
      </c>
      <c r="G134" s="46">
        <v>1.75</v>
      </c>
      <c r="H134" s="46">
        <v>5</v>
      </c>
      <c r="I134" s="46">
        <v>0</v>
      </c>
      <c r="J134" s="47">
        <f t="shared" si="16"/>
        <v>6.75</v>
      </c>
      <c r="K134" s="47">
        <f>SUMIFS($J$3:J134,$F$3:F134,F134)-J134</f>
        <v>13.75</v>
      </c>
      <c r="L134" s="47">
        <f t="shared" si="17"/>
        <v>6.75</v>
      </c>
      <c r="M134" s="47">
        <f t="shared" si="18"/>
        <v>0</v>
      </c>
      <c r="N134" s="48">
        <f>L134*'Employee 01 Reconciliation'!$B$9</f>
        <v>168.75</v>
      </c>
      <c r="O134" s="48">
        <f>M134*'Employee 01 Reconciliation'!$B$9*1.5</f>
        <v>0</v>
      </c>
      <c r="P134" s="48">
        <f t="shared" si="19"/>
        <v>168.75</v>
      </c>
    </row>
    <row r="135" spans="1:16" s="38" customFormat="1">
      <c r="A135" s="39" t="s">
        <v>48</v>
      </c>
      <c r="B135" s="54">
        <v>1</v>
      </c>
      <c r="C135" s="60">
        <v>46233</v>
      </c>
      <c r="D135" s="44" t="s">
        <v>41</v>
      </c>
      <c r="E135" s="45">
        <v>46204</v>
      </c>
      <c r="F135" s="56">
        <v>46230</v>
      </c>
      <c r="G135" s="46">
        <v>1.75</v>
      </c>
      <c r="H135" s="46">
        <v>5</v>
      </c>
      <c r="I135" s="46">
        <v>0</v>
      </c>
      <c r="J135" s="47">
        <f t="shared" si="16"/>
        <v>6.75</v>
      </c>
      <c r="K135" s="47">
        <f>SUMIFS($J$3:J135,$F$3:F135,F135)-J135</f>
        <v>20.5</v>
      </c>
      <c r="L135" s="47">
        <f t="shared" si="17"/>
        <v>6.75</v>
      </c>
      <c r="M135" s="47">
        <f t="shared" si="18"/>
        <v>0</v>
      </c>
      <c r="N135" s="48">
        <f>L135*'Employee 01 Reconciliation'!$B$9</f>
        <v>168.75</v>
      </c>
      <c r="O135" s="48">
        <f>M135*'Employee 01 Reconciliation'!$B$9*1.5</f>
        <v>0</v>
      </c>
      <c r="P135" s="48">
        <f t="shared" si="19"/>
        <v>168.75</v>
      </c>
    </row>
    <row r="136" spans="1:16" s="38" customFormat="1">
      <c r="A136" s="39" t="s">
        <v>48</v>
      </c>
      <c r="B136" s="54">
        <v>1</v>
      </c>
      <c r="C136" s="61">
        <v>46234</v>
      </c>
      <c r="D136" s="49" t="s">
        <v>42</v>
      </c>
      <c r="E136" s="50">
        <v>46204</v>
      </c>
      <c r="F136" s="57">
        <v>46230</v>
      </c>
      <c r="G136" s="51">
        <v>1.75</v>
      </c>
      <c r="H136" s="51">
        <v>5</v>
      </c>
      <c r="I136" s="51">
        <v>0</v>
      </c>
      <c r="J136" s="52">
        <f t="shared" si="16"/>
        <v>6.75</v>
      </c>
      <c r="K136" s="52">
        <f>SUMIFS($J$3:J136,$F$3:F136,F136)-J136</f>
        <v>27.25</v>
      </c>
      <c r="L136" s="52">
        <f t="shared" si="17"/>
        <v>6.75</v>
      </c>
      <c r="M136" s="52">
        <f t="shared" si="18"/>
        <v>0</v>
      </c>
      <c r="N136" s="53">
        <f>L136*'Employee 01 Reconciliation'!$B$9</f>
        <v>168.75</v>
      </c>
      <c r="O136" s="53">
        <f>M136*'Employee 01 Reconciliation'!$B$9*1.5</f>
        <v>0</v>
      </c>
      <c r="P136" s="53">
        <f t="shared" si="19"/>
        <v>168.75</v>
      </c>
    </row>
  </sheetData>
  <mergeCells count="1">
    <mergeCell ref="A1:P1"/>
  </mergeCells>
  <conditionalFormatting sqref="M3:M13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01 Reconciliation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 O’Brien</cp:lastModifiedBy>
  <dcterms:created xsi:type="dcterms:W3CDTF">2026-09-07T20:03:46Z</dcterms:created>
  <dcterms:modified xsi:type="dcterms:W3CDTF">2026-09-07T20:07:47Z</dcterms:modified>
</cp:coreProperties>
</file>